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ll_Subjects_Lessons\CHUYEN_DE_KTPM1\23211tt2037_LeNguyenThanhDat_DoAnCĐKTPM1_252\PhanMem_QLTCs_PST\"/>
    </mc:Choice>
  </mc:AlternateContent>
  <xr:revisionPtr revIDLastSave="0" documentId="13_ncr:1_{8A78CF69-8FCD-4110-A89A-3C2FE0DD4E93}" xr6:coauthVersionLast="47" xr6:coauthVersionMax="47" xr10:uidLastSave="{00000000-0000-0000-0000-000000000000}"/>
  <bookViews>
    <workbookView xWindow="-110" yWindow="-110" windowWidth="19420" windowHeight="11020" xr2:uid="{FFC2F085-4436-42EC-83D8-D6A38C92B905}"/>
  </bookViews>
  <sheets>
    <sheet name=" Chức năng SRS Management" sheetId="1" r:id="rId1"/>
    <sheet name="Chức năng test Plan" sheetId="3" r:id="rId2"/>
    <sheet name="Chức năng test case" sheetId="2" r:id="rId3"/>
    <sheet name="Chức năng Defec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4" l="1"/>
  <c r="G3" i="4" s="1"/>
  <c r="F5" i="4"/>
  <c r="G5" i="4" s="1"/>
  <c r="F4" i="4"/>
  <c r="G4" i="4" s="1"/>
  <c r="F5" i="2"/>
  <c r="G5" i="2" s="1"/>
  <c r="F4" i="2"/>
  <c r="G4" i="2" s="1"/>
  <c r="F3" i="2"/>
  <c r="G3" i="2" s="1"/>
  <c r="F5" i="3"/>
  <c r="G5" i="3" s="1"/>
  <c r="F4" i="3"/>
  <c r="G4" i="3" s="1"/>
  <c r="F3" i="3"/>
  <c r="G3" i="3" s="1"/>
  <c r="F5" i="1"/>
  <c r="G5" i="1" s="1"/>
  <c r="F4" i="1"/>
  <c r="G4" i="1" s="1"/>
  <c r="F3" i="1"/>
  <c r="G3" i="1" s="1"/>
</calcChain>
</file>

<file path=xl/sharedStrings.xml><?xml version="1.0" encoding="utf-8"?>
<sst xmlns="http://schemas.openxmlformats.org/spreadsheetml/2006/main" count="4936" uniqueCount="2126">
  <si>
    <t>TC ID</t>
  </si>
  <si>
    <t>Title</t>
  </si>
  <si>
    <t>Estimation (mins)</t>
  </si>
  <si>
    <t>Area</t>
  </si>
  <si>
    <t>Procedure / Steps</t>
  </si>
  <si>
    <t>Expected Results</t>
  </si>
  <si>
    <t>Priority</t>
  </si>
  <si>
    <t>Author</t>
  </si>
  <si>
    <t>Functional</t>
  </si>
  <si>
    <t>Tạo mới Test Plan với dữ liệu hợp lệ</t>
  </si>
  <si>
    <t>High</t>
  </si>
  <si>
    <t>Test Type</t>
  </si>
  <si>
    <t>Test Plan Management</t>
  </si>
  <si>
    <t>Medium</t>
  </si>
  <si>
    <t>Low</t>
  </si>
  <si>
    <t>Tìm kiếm Test Plan theo Title hợp lệ</t>
  </si>
  <si>
    <t>Tìm kiếm Test Plan theo SRS</t>
  </si>
  <si>
    <t>Tìm kiếm Test Plan theo Version</t>
  </si>
  <si>
    <t>Tìm kiếm Test Plan theo Status</t>
  </si>
  <si>
    <t>Security</t>
  </si>
  <si>
    <t>Integration</t>
  </si>
  <si>
    <t>SRS</t>
  </si>
  <si>
    <t>Pre-Conditions</t>
  </si>
  <si>
    <t>Test Data</t>
  </si>
  <si>
    <t>TC_SRS_001</t>
  </si>
  <si>
    <t>Tạo mới SRS với dữ liệu hợp lệ</t>
  </si>
  <si>
    <t>Create</t>
  </si>
  <si>
    <t>Người dùng đã đăng nhập, có quyền Author</t>
  </si>
  <si>
    <t>SRS ID = SRS001, Title=Hệ thống ABC, Version=1.0, Page=50, Year=01/01/2024, File=abc.docx</t>
  </si>
  <si>
    <t>TC_SRS_002</t>
  </si>
  <si>
    <t>Tạo mới SRS không nhập SRS ID</t>
  </si>
  <si>
    <t>Người dùng đã đăng nhập</t>
  </si>
  <si>
    <t>Title=Test, Version=1.0</t>
  </si>
  <si>
    <t>TC_SRS_003</t>
  </si>
  <si>
    <t>Tạo mới SRS với SRS ID trùng</t>
  </si>
  <si>
    <t>Đã tồn tại SRS ID=SRS001</t>
  </si>
  <si>
    <t>ID=SRS001</t>
  </si>
  <si>
    <t>TC_SRS_004</t>
  </si>
  <si>
    <t>Tạo mới SRS không chọn file đính kèm</t>
  </si>
  <si>
    <t>File trống</t>
  </si>
  <si>
    <t>TC_SRS_005</t>
  </si>
  <si>
    <t>Tạo mới SRS với file không đúng định dạng</t>
  </si>
  <si>
    <t>File=abc.png</t>
  </si>
  <si>
    <t>TC_SRS_006</t>
  </si>
  <si>
    <t>Tạo mới SRS với ngày xuất bản trong tương lai</t>
  </si>
  <si>
    <t>Year=2030</t>
  </si>
  <si>
    <t>TC_SRS_007</t>
  </si>
  <si>
    <t>Tạo mới SRS với số trang âm</t>
  </si>
  <si>
    <t>Page=-5</t>
  </si>
  <si>
    <t>TC_SRS_008</t>
  </si>
  <si>
    <t>Tạo mới SRS với trường mô tả rỗng</t>
  </si>
  <si>
    <t>Description= ""</t>
  </si>
  <si>
    <t>TC_SRS_009</t>
  </si>
  <si>
    <t>Tạo mới SRS và nhấn Cancel</t>
  </si>
  <si>
    <t>-</t>
  </si>
  <si>
    <t>TC_SRS_010</t>
  </si>
  <si>
    <t>Tìm kiếm SRS theo ID hợp lệ</t>
  </si>
  <si>
    <t>Search</t>
  </si>
  <si>
    <t>Có sẵn SRS ID=SRS001</t>
  </si>
  <si>
    <t>SRS001</t>
  </si>
  <si>
    <t>TC_SRS_011</t>
  </si>
  <si>
    <t>Tìm kiếm SRS theo ID không tồn tại</t>
  </si>
  <si>
    <t>CSDL có dữ liệu</t>
  </si>
  <si>
    <t>XYZ999</t>
  </si>
  <si>
    <t>TC_SRS_012</t>
  </si>
  <si>
    <t>Tìm kiếm SRS theo Title hợp lệ</t>
  </si>
  <si>
    <t>Có SRS với Title=Hệ thống ABC</t>
  </si>
  <si>
    <t>Title=Hệ thống ABC</t>
  </si>
  <si>
    <t>TC_SRS_013</t>
  </si>
  <si>
    <t>Tìm kiếm SRS theo Version hợp lệ</t>
  </si>
  <si>
    <t>Có SRS với Version=1.0</t>
  </si>
  <si>
    <t>Version=1.0</t>
  </si>
  <si>
    <t>TC_SRS_014</t>
  </si>
  <si>
    <t>Tìm kiếm SRS với Title chứa ký tự đặc biệt</t>
  </si>
  <si>
    <t>Có SRS Title=Test@2024</t>
  </si>
  <si>
    <t>Test@2024</t>
  </si>
  <si>
    <t>TC_SRS_015</t>
  </si>
  <si>
    <t>Tìm kiếm SRS với trường rỗng</t>
  </si>
  <si>
    <t>Có nhiều SRS trong CSDL</t>
  </si>
  <si>
    <t>TC_SRS_016</t>
  </si>
  <si>
    <t>Tìm kiếm SRS và nhấn Enter thay vì Search</t>
  </si>
  <si>
    <t>TC_SRS_017</t>
  </si>
  <si>
    <t>Tìm kiếm SRS phân biệt hoa thường</t>
  </si>
  <si>
    <t>Có SRS ID=SRS001</t>
  </si>
  <si>
    <t>srs001</t>
  </si>
  <si>
    <t>TC_SRS_018</t>
  </si>
  <si>
    <t>Tìm kiếm SRS với dữ liệu SQL Injection</t>
  </si>
  <si>
    <t>Có SRS dữ liệu thật</t>
  </si>
  <si>
    <t>' OR 1=1 --</t>
  </si>
  <si>
    <t>TC_SRS_019</t>
  </si>
  <si>
    <t>Tìm kiếm SRS với dữ liệu quá dài (1000 ký tự)</t>
  </si>
  <si>
    <t>Performance</t>
  </si>
  <si>
    <t>1000 ký tự "A"</t>
  </si>
  <si>
    <t>TC_SRS_020</t>
  </si>
  <si>
    <t>Tìm kiếm SRS có nhiều kết quả</t>
  </si>
  <si>
    <t>Có nhiều SRS Version=1.0</t>
  </si>
  <si>
    <t>TC_SRS_021</t>
  </si>
  <si>
    <t>TC_SRS_022</t>
  </si>
  <si>
    <t>TC_SRS_023</t>
  </si>
  <si>
    <t>TC_SRS_024</t>
  </si>
  <si>
    <t>TC_SRS_025</t>
  </si>
  <si>
    <t>TC_SRS_026</t>
  </si>
  <si>
    <t>TC_SRS_027</t>
  </si>
  <si>
    <t>TC_SRS_028</t>
  </si>
  <si>
    <t>TC_SRS_029</t>
  </si>
  <si>
    <t>TC_SRS_030</t>
  </si>
  <si>
    <t>TC_SRS_031</t>
  </si>
  <si>
    <t>TC_SRS_032</t>
  </si>
  <si>
    <t>TC_SRS_033</t>
  </si>
  <si>
    <t>TC_SRS_034</t>
  </si>
  <si>
    <t>TC_SRS_035</t>
  </si>
  <si>
    <t>TC_SRS_036</t>
  </si>
  <si>
    <t>TC_SRS_037</t>
  </si>
  <si>
    <t>TC_SRS_038</t>
  </si>
  <si>
    <t>TC_SRS_039</t>
  </si>
  <si>
    <t>TC_SRS_040</t>
  </si>
  <si>
    <t>TC_SRS_041</t>
  </si>
  <si>
    <t>TC_SRS_042</t>
  </si>
  <si>
    <t>TC_SRS_043</t>
  </si>
  <si>
    <t>TC_SRS_044</t>
  </si>
  <si>
    <t>TC_SRS_045</t>
  </si>
  <si>
    <t>TC_SRS_046</t>
  </si>
  <si>
    <t>TC_SRS_047</t>
  </si>
  <si>
    <t>TC_SRS_048</t>
  </si>
  <si>
    <t>TC_SRS_049</t>
  </si>
  <si>
    <t>TC_SRS_050</t>
  </si>
  <si>
    <t>TC_SRS_051</t>
  </si>
  <si>
    <t>TC_SRS_052</t>
  </si>
  <si>
    <t>TC_SRS_053</t>
  </si>
  <si>
    <t>TC_SRS_054</t>
  </si>
  <si>
    <t>TC_SRS_055</t>
  </si>
  <si>
    <t>TC_SRS_056</t>
  </si>
  <si>
    <t>TC_SRS_057</t>
  </si>
  <si>
    <t>TC_SRS_058</t>
  </si>
  <si>
    <t>TC_SRS_059</t>
  </si>
  <si>
    <t>SRS_PST_ver1.0</t>
  </si>
  <si>
    <t>1. Chọn menu SRS Management
2. Nhấn nút Add
3. Nhập đầy đủ thông tin SRS ID, Title, Version, Page Number, Public Year, File
4. Nhấn Add</t>
  </si>
  <si>
    <t>Lê Nguyễn Thành Đạt</t>
  </si>
  <si>
    <t>1. Vào Create SRS
2. Bỏ trống SRS ID
3. Nhấn Add</t>
  </si>
  <si>
    <t>1. Form hiển thị
2. Có thông báo lỗi dưới text box SRS ID: "Không được để trống SRS ID"
3. Hệ thống báo lỗi "SRS ID là bắt buộc"</t>
  </si>
  <si>
    <t>1. Vào Create SRS
2. Nhập SRS ID=SRS001
3. Nhấn Add</t>
  </si>
  <si>
    <t>1. Form hiển thị
2. Người dùng nhập trùng ID
3. Hệ thống báo lỗi "SRS ID đã tồn tại"</t>
  </si>
  <si>
    <t>1. Vào Create SRS
2. Nhập đủ dữ liệu trừ file
3. Nhấn Add</t>
  </si>
  <si>
    <t>1. Form hiển thị
2. Thiếu file upload
3. Hệ thống cảnh báo "File bắt buộc"</t>
  </si>
  <si>
    <t>1. Vào Create SRS
2. Chọn file .png
3. Nhấn Add</t>
  </si>
  <si>
    <t>1. Form hiển thị
2. File không hợp lệ
3. Hệ thống báo lỗi "Định dạng không hợp lệ (.pdf, .docx)"</t>
  </si>
  <si>
    <t>1. Vào Create SRS
2. Nhập Public Year=01/01/2030
3. Nhấn Add</t>
  </si>
  <si>
    <t>1. Form hiển thị
2. Người dùng nhập ngày tương lai
3. Hệ thống báo lỗi "Ngày không hợp lệ"</t>
  </si>
  <si>
    <t>1. Vào Create SRS
2. Nhập Page Number=-53. Nhấn Add</t>
  </si>
  <si>
    <t>1. Vào Create SRS
2. Nhập đủ thông tin, mô tả bỏ trống3. Nhấn Add</t>
  </si>
  <si>
    <t>1. Form hiển thị
2. Người dùng nhập giá trị âm
3. Hệ thống báo lỗi "Số trang phải &gt; 0"</t>
  </si>
  <si>
    <t>1. Form hiển thị
2. Người dùng nhập trống mô tả
3. Hệ thống chấp nhận và tạo SRS thành công</t>
  </si>
  <si>
    <t>1. Vào Create SRS
2. Nhập dữ liệu
3. Nhấn Cancel</t>
  </si>
  <si>
    <t>1. Form hiển thị
2. Người dùng nhấn Cancel
3. Hệ thống đóng form, không lưu dữ liệu</t>
  </si>
  <si>
    <t>1. Vào SRS List
2. Nhập SRS ID=SRS001
3. Nhấn Search</t>
  </si>
  <si>
    <t>1. Màn hình hiển thị form search
3. Hệ thống trả về kết quả đúng</t>
  </si>
  <si>
    <t>1. Vào Search
2. Nhập SRS ID=XYZ999
3. Nhấn Search</t>
  </si>
  <si>
    <t>1. Màn hình hiển thị
3. Hệ thống trả về "Không có kết quả"</t>
  </si>
  <si>
    <t>1. Vào Search
2. Nhập Title=Hệ thống ABC
3. Nhấn Search</t>
  </si>
  <si>
    <t>3. Hệ thống trả về kết quả đúng</t>
  </si>
  <si>
    <t>1. Vào Search
2. Nhập Version=1.0
3. Nhấn Search</t>
  </si>
  <si>
    <t>3. Hệ thống trả về kết quả chính xác</t>
  </si>
  <si>
    <t>1. Vào Search
2. Nhập Title=Test@2024
3. Nhấn Search</t>
  </si>
  <si>
    <t>3. Hệ thống hiển thị đúng kết quả</t>
  </si>
  <si>
    <t>1. Vào Search
2. Bỏ trống
3. Nhấn Search</t>
  </si>
  <si>
    <t>3. Hệ thống trả về toàn bộ danh sách</t>
  </si>
  <si>
    <t>1. Vào Search
2. Nhập ID
3. Nhấn Enter</t>
  </si>
  <si>
    <t>1. Vào Search
2. Nhập srs001
3. Nhấn Search</t>
  </si>
  <si>
    <t>3. Hệ thống tìm kiếm không phân biệt hoa/thường</t>
  </si>
  <si>
    <t>3. Hệ thống ngăn chặn, không crash, không trả về toàn bộ dữ liệu</t>
  </si>
  <si>
    <t>1. Vào Search
2. Nhập 1000 ký tự
3. Nhấn Search</t>
  </si>
  <si>
    <t>i3. Hệ thống xử lý, trả về "Không có kết quả" mà không crash</t>
  </si>
  <si>
    <t>3. Hệ thống trả về nhiều kết quả và phân trang đúng</t>
  </si>
  <si>
    <t>Cập nhật SRS với dữ liệu hợp lệ</t>
  </si>
  <si>
    <t>Update</t>
  </si>
  <si>
    <t>Title=Hệ thống ABC Update, Page=60</t>
  </si>
  <si>
    <t>Cập nhật SRS không nhập Title</t>
  </si>
  <si>
    <t>Có sẵn SRS ID=SRS002</t>
  </si>
  <si>
    <t>Title trống</t>
  </si>
  <si>
    <t>Cập nhật SRS với Version không hợp lệ</t>
  </si>
  <si>
    <t>Có sẵn SRS ID=SRS003</t>
  </si>
  <si>
    <t>Version=abc</t>
  </si>
  <si>
    <t>Cập nhật SRS đổi file đính kèm hợp lệ</t>
  </si>
  <si>
    <t>Có sẵn SRS004 với file .pdf</t>
  </si>
  <si>
    <t>File=test.docx</t>
  </si>
  <si>
    <t>Cập nhật SRS upload file sai định dạng</t>
  </si>
  <si>
    <t>Có sẵn SRS005</t>
  </si>
  <si>
    <t>File=image.jpg</t>
  </si>
  <si>
    <t>Cập nhật SRS bỏ trống số trang</t>
  </si>
  <si>
    <t>Có sẵn SRS006</t>
  </si>
  <si>
    <t>Page trống</t>
  </si>
  <si>
    <t>Cập nhật SRS với ngày xuất bản quá hạn tương lai</t>
  </si>
  <si>
    <t>Có sẵn SRS007</t>
  </si>
  <si>
    <t>Year=2035</t>
  </si>
  <si>
    <t>Cập nhật SRS với mô tả mới</t>
  </si>
  <si>
    <t>Có sẵn SRS008</t>
  </si>
  <si>
    <t>Description="Cập nhật tài liệu"</t>
  </si>
  <si>
    <t>Cập nhật SRS và nhấn Cancel</t>
  </si>
  <si>
    <t>Có sẵn SRS009</t>
  </si>
  <si>
    <t>Cập nhật SRS khi mất kết nối mạng</t>
  </si>
  <si>
    <t>Reliability</t>
  </si>
  <si>
    <t>Có sẵn SRS010</t>
  </si>
  <si>
    <t>Title=Offline Update</t>
  </si>
  <si>
    <t>Xóa SRS hợp lệ</t>
  </si>
  <si>
    <t>Delete</t>
  </si>
  <si>
    <t>Có sẵn SRS011</t>
  </si>
  <si>
    <t>SRS011</t>
  </si>
  <si>
    <t>Xóa SRS nhấn Cancel</t>
  </si>
  <si>
    <t>Có sẵn SRS012</t>
  </si>
  <si>
    <t>Xóa nhiều SRS cùng lúc</t>
  </si>
  <si>
    <t>Có sẵn SRS013, SRS014</t>
  </si>
  <si>
    <t>ID= SRS013, SRS014</t>
  </si>
  <si>
    <t>Xóa SRS không tồn tại</t>
  </si>
  <si>
    <t>ID=SRS999 không có</t>
  </si>
  <si>
    <t>SRS999</t>
  </si>
  <si>
    <t>Xóa SRS khi mất kết nối</t>
  </si>
  <si>
    <t>Có sẵn SRS015</t>
  </si>
  <si>
    <t>SRS015</t>
  </si>
  <si>
    <t>Xóa SRS đang được liên kết với Test Plan</t>
  </si>
  <si>
    <t>Có SRS016 đã gắn Test Plan</t>
  </si>
  <si>
    <t>SRS016</t>
  </si>
  <si>
    <t>Xóa SRS đang mở ở màn hình khác</t>
  </si>
  <si>
    <t>Có SRS017 đang mở ở tab khác</t>
  </si>
  <si>
    <t>SRS017</t>
  </si>
  <si>
    <t>Xóa SRS và kiểm tra version history</t>
  </si>
  <si>
    <t>Có SRS018 có version history</t>
  </si>
  <si>
    <t>SRS018</t>
  </si>
  <si>
    <t>Xóa SRS với quyền không đủ</t>
  </si>
  <si>
    <t>Tài khoản Tester đăng nhập</t>
  </si>
  <si>
    <t>SRS019</t>
  </si>
  <si>
    <t>Xóa SRS nhấn Delete liên tục nhiều lần</t>
  </si>
  <si>
    <t>Có SRS020</t>
  </si>
  <si>
    <t>SRS020</t>
  </si>
  <si>
    <t>1. Vào danh sách SRS
2. Chọn SRS001 nhấn Update
3. Chỉnh sửa Title và Page Number
4. Nhấn Update</t>
  </si>
  <si>
    <t>2. Form hiển thị dữ liệu cũ
3. Dữ liệu lưu thành công
4. Danh sách hiển thị giá trị mới</t>
  </si>
  <si>
    <t>1. Chọn Update SRS002
2. Xóa Title
3. Nhấn Update</t>
  </si>
  <si>
    <t>1. Form hiển thị dữ liệu
3. Hệ thống báo lỗi "Title bắt buộc"</t>
  </si>
  <si>
    <t>1. Chọn Update SRS003
2. Nhập Version=abc
3. Nhấn Update</t>
  </si>
  <si>
    <t>1. Form hiển thị
3. Hệ thống báo lỗi "Version không hợp lệ"</t>
  </si>
  <si>
    <t>1. Chọn Update SRS004
2. Upload file mới test.docx
3. Nhấn Update</t>
  </si>
  <si>
    <t>1. Form hiển thị
3. Hệ thống lưu file mới thành công</t>
  </si>
  <si>
    <t>1. Chọn Update SRS005
2. Upload file .jpg
3. Nhấn Update</t>
  </si>
  <si>
    <t>1. Form hiển thị
3. Hệ thống báo lỗi "Chỉ chấp nhận .pdf, .docx"</t>
  </si>
  <si>
    <t>1. Chọn Update SRS006
2. Xóa Page Number
3. Nhấn Update</t>
  </si>
  <si>
    <t>1. Form hiển thị
3. Hệ thống báo lỗi "Page Number bắt buộc"</t>
  </si>
  <si>
    <t>1. Chọn Update SRS007
2. Nhập Public Year=01/01/2035
3. Nhấn Update</t>
  </si>
  <si>
    <t>1. Chọn Update SRS008
2. Nhập mô tả mới "Cập nhật tài liệu" 
3. Nhấn Update</t>
  </si>
  <si>
    <t>1. Form hiển thị
3. Hệ thống lưu thành công, danh sách hiển thị mô tả mới</t>
  </si>
  <si>
    <t>1. Chọn Update SRS009
2. Nhập dữ liệu mới
3. Nhấn Cancel</t>
  </si>
  <si>
    <t>1. Form hiển thị
3. Hệ thống đóng form, không lưu dữ liệu</t>
  </si>
  <si>
    <t>1. Chọn Update SRS010
2. Nhập dữ liệu mới
3. Tắt mạng và nhấn Update</t>
  </si>
  <si>
    <t>1. Form hiển thị
3. Hệ thống hiển thị lỗi "Không thể kết nối"</t>
  </si>
  <si>
    <t>1. Vào danh sách
2. Chọn SRS011 nhấn Delete
3. Xác nhận Yes</t>
  </si>
  <si>
    <t>1. Danh sách hiển thị
3. Hệ thống xóa SRS và không còn hiển thị</t>
  </si>
  <si>
    <t>1. Chọn Delete SRS012
2. Nhấn Cancel</t>
  </si>
  <si>
    <t>1. Danh sách hiển thị
3. Hệ thống không xóa dữ liệu</t>
  </si>
  <si>
    <t>1. Chọn nhiều checkbox
2. Nhấn Delete
3. Xác nhận Yes</t>
  </si>
  <si>
    <t>1. Danh sách hiển thị
3. Hệ thống xóa tất cả đúng ID</t>
  </si>
  <si>
    <t>1. Tìm SRS999
2. Nhấn Delete</t>
  </si>
  <si>
    <t>1. Danh sách hiển thị
2. Không tìm thấy ID
3. Hệ thống báo lỗi "Không tồn tại"</t>
  </si>
  <si>
    <t>1. Chọn Delete
2. Tắt mạng
3. Xác nhận Yes</t>
  </si>
  <si>
    <t>1. Danh sách hiển thị
3. Hệ thống báo "Không thể kết nối"</t>
  </si>
  <si>
    <t>1. Chọn Delete
2. Nhấn Yes</t>
  </si>
  <si>
    <t>1. Danh sách hiển thị
3. Hệ thống báo lỗi "Không thể xóa, đang liên kết"</t>
  </si>
  <si>
    <t>1. Danh sách hiển thị
3. Hệ thống cảnh báo xung đột</t>
  </si>
  <si>
    <t>1. Xóa SRS018
2. Vào phần xem version</t>
  </si>
  <si>
    <t>1. Danh sách hiển thị
3. Version history vẫn hiển thị tham chiếu</t>
  </si>
  <si>
    <t>1. Danh sách hiển thị
3. Hệ thống báo lỗi "Không đủ quyền"</t>
  </si>
  <si>
    <t>1. Đăng nhập với Tester
2. Chọn Delete SRS019</t>
  </si>
  <si>
    <t>1. Nhấn Delete nhiều lần
2. Xác nhận Yes</t>
  </si>
  <si>
    <t>Author tạo mới SRS thành công</t>
  </si>
  <si>
    <t>User Role</t>
  </si>
  <si>
    <t>Đăng nhập với tài khoản Author</t>
  </si>
  <si>
    <t>ID=SRS_A1</t>
  </si>
  <si>
    <t>Tester tạo mới SRS</t>
  </si>
  <si>
    <t>Đăng nhập Tester</t>
  </si>
  <si>
    <t>Dev tạo mới SRS</t>
  </si>
  <si>
    <t>Đăng nhập Dev</t>
  </si>
  <si>
    <t>Author cập nhật SRS thành công</t>
  </si>
  <si>
    <t>Có SRS ID=SRS100, login Author</t>
  </si>
  <si>
    <t>Title mới="Update1"</t>
  </si>
  <si>
    <t>Tester cập nhật SRS</t>
  </si>
  <si>
    <t>Có SRS ID=SRS101, login Tester</t>
  </si>
  <si>
    <t>Title mới</t>
  </si>
  <si>
    <t>Dev cập nhật SRS</t>
  </si>
  <si>
    <t>Có SRS ID=SRS102, login Dev</t>
  </si>
  <si>
    <t>Author xóa SRS thành công</t>
  </si>
  <si>
    <t>Có SRS ID=SRS103, login Author</t>
  </si>
  <si>
    <t>SRS103</t>
  </si>
  <si>
    <t>Tester xóa SRS</t>
  </si>
  <si>
    <t>Có SRS ID=SRS104, login Tester</t>
  </si>
  <si>
    <t>SRS104</t>
  </si>
  <si>
    <t>Dev xóa SRS</t>
  </si>
  <si>
    <t>Có SRS ID=SRS105, login Dev</t>
  </si>
  <si>
    <t>SRS105</t>
  </si>
  <si>
    <t>Author tìm kiếm SRS theo ID</t>
  </si>
  <si>
    <t>Login Author, có SRS106</t>
  </si>
  <si>
    <t>SRS106</t>
  </si>
  <si>
    <t>Tester tìm kiếm SRS theo Title</t>
  </si>
  <si>
    <t>Login Tester, có SRS107</t>
  </si>
  <si>
    <t>Test</t>
  </si>
  <si>
    <t>Dev tìm kiếm SRS theo Version</t>
  </si>
  <si>
    <t>Login Dev, có SRS108</t>
  </si>
  <si>
    <t>Author xem lịch sử version</t>
  </si>
  <si>
    <t>Có SRS109 nhiều version</t>
  </si>
  <si>
    <t>Tester xem lịch sử version</t>
  </si>
  <si>
    <t>Có SRS110 nhiều version</t>
  </si>
  <si>
    <t>Dev xem lịch sử version</t>
  </si>
  <si>
    <t>Có SRS111 nhiều version</t>
  </si>
  <si>
    <t>Tester cố truy cập trực tiếp link Create SRS</t>
  </si>
  <si>
    <t>Dev cố truy cập trực tiếp link Update SRS</t>
  </si>
  <si>
    <t>SRS112</t>
  </si>
  <si>
    <t>Author thao tác đồng thời với Tester</t>
  </si>
  <si>
    <t>Concurrency</t>
  </si>
  <si>
    <t>Author và Tester login song song</t>
  </si>
  <si>
    <t>Dev thao tác đồng thời với Author</t>
  </si>
  <si>
    <t>Dev và Author login song song</t>
  </si>
  <si>
    <t>1. Dev thử Delete SRS1142. Author Update cùng lúc</t>
  </si>
  <si>
    <t>SRS114</t>
  </si>
  <si>
    <t>1. Dev thao tác bị từ chối2. Author update thành công3. Không lỗi hệ thống</t>
  </si>
  <si>
    <t>TC_SRS_060</t>
  </si>
  <si>
    <t>Kiểm tra phân quyền hiển thị nút chức năng</t>
  </si>
  <si>
    <t>UI</t>
  </si>
  <si>
    <t>Đăng nhập với 3 loại user</t>
  </si>
  <si>
    <t>TC_SRS_061</t>
  </si>
  <si>
    <t>TC_SRS_062</t>
  </si>
  <si>
    <t>TC_SRS_063</t>
  </si>
  <si>
    <t>TC_SRS_064</t>
  </si>
  <si>
    <t>TC_SRS_065</t>
  </si>
  <si>
    <t>TC_SRS_066</t>
  </si>
  <si>
    <t>TC_SRS_067</t>
  </si>
  <si>
    <t>TC_SRS_068</t>
  </si>
  <si>
    <t>TC_SRS_069</t>
  </si>
  <si>
    <t>TC_SRS_070</t>
  </si>
  <si>
    <t>TC_SRS_071</t>
  </si>
  <si>
    <t>TC_SRS_072</t>
  </si>
  <si>
    <t>TC_SRS_073</t>
  </si>
  <si>
    <t>TC_SRS_074</t>
  </si>
  <si>
    <t>TC_SRS_075</t>
  </si>
  <si>
    <t>TC_SRS_076</t>
  </si>
  <si>
    <t>TC_SRS_077</t>
  </si>
  <si>
    <t>TC_SRS_078</t>
  </si>
  <si>
    <t>TC_SRS_079</t>
  </si>
  <si>
    <t>TC_SRS_080</t>
  </si>
  <si>
    <t>TC_SRS_081</t>
  </si>
  <si>
    <t>TC_SRS_082</t>
  </si>
  <si>
    <t>TC_SRS_083</t>
  </si>
  <si>
    <t>TC_SRS_084</t>
  </si>
  <si>
    <t>TC_SRS_085</t>
  </si>
  <si>
    <t>TC_SRS_086</t>
  </si>
  <si>
    <t>TC_SRS_087</t>
  </si>
  <si>
    <t>TC_SRS_088</t>
  </si>
  <si>
    <t>TC_SRS_089</t>
  </si>
  <si>
    <t>TC_SRS_090</t>
  </si>
  <si>
    <t>TC_SRS_091</t>
  </si>
  <si>
    <t>TC_SRS_092</t>
  </si>
  <si>
    <t>TC_SRS_093</t>
  </si>
  <si>
    <t>TC_SRS_094</t>
  </si>
  <si>
    <t>TC_SRS_095</t>
  </si>
  <si>
    <t>TC_SRS_096</t>
  </si>
  <si>
    <t>TC_SRS_097</t>
  </si>
  <si>
    <t>TC_SRS_098</t>
  </si>
  <si>
    <t>TC_SRS_099</t>
  </si>
  <si>
    <t>TC_SRS_100</t>
  </si>
  <si>
    <t>1. Đăng nhập Author
2. Vào SRS Management
3. Tạo mới SRS với dữ liệu hợp lệ</t>
  </si>
  <si>
    <t>1. Đăng nhập thành công
2. Mở SRS
3. SRS được tạo thành công</t>
  </si>
  <si>
    <t>1. Đăng nhập Tester
2. Vào SRS Management
3. Nhấn Add</t>
  </si>
  <si>
    <t>1. Đăng nhập thành công
2. Mở SRS
3. Nút Add bị disable hoặc báo lỗi "Không đủ quyền"</t>
  </si>
  <si>
    <t>1. Đăng nhập thành công
2. Mở SRS
3. Không có quyền tạo, hệ thống chặn thao tác</t>
  </si>
  <si>
    <t>1. Đăng nhập Dev
2. Vào SRS Management
3. Nhấn Add</t>
  </si>
  <si>
    <t>1. Đăng nhập thành công
2. Chọn Update
3. Hệ thống lưu thành công</t>
  </si>
  <si>
    <t>1. Đăng nhập Author
2. Chọn Update SRS100
3. Thay đổi Title
4. Nhấn Update</t>
  </si>
  <si>
    <t>1. Đăng nhập Tester
2. Chọn Update SRS101
3. Nhập Title mới
4. Nhấn Update</t>
  </si>
  <si>
    <t>1. Đăng nhập thành công
2. Form Update bị ẩn hoặc disable
3. Hệ thống báo "Không đủ quyền"</t>
  </si>
  <si>
    <t>1. Đăng nhập thành công
2. Không có quyền Update
3. Hệ thống báo lỗi quyền</t>
  </si>
  <si>
    <t>1. Đăng nhập Dev
2. Thử chọn Update</t>
  </si>
  <si>
    <t>1. Đăng nhập Author
2. Chọn Delete SRS103
3. Xác nhận Yes</t>
  </si>
  <si>
    <t>1. Đăng nhập thành công
2. Nhấn Delete
3. Hệ thống xóa thành công</t>
  </si>
  <si>
    <t>1. Đăng nhập Tester
2. Nhấn Delete SRS104</t>
  </si>
  <si>
    <t>1. Đăng nhập thành công
2. Nút Delete bị disable
3. Báo "Không đủ quyền"</t>
  </si>
  <si>
    <t>1. Đăng nhập Dev
2. Thử chọn Delete</t>
  </si>
  <si>
    <t>1. Đăng nhập thành công
2. Không thể nhấn Delete
3. Hệ thống chặn thao tác</t>
  </si>
  <si>
    <t>1. Đăng nhập Author
2. Search ID=SRS106</t>
  </si>
  <si>
    <t>1. Đăng nhập thành công
2. Hệ thống trả về đúng kết quả</t>
  </si>
  <si>
    <t>1. Đăng nhập Tester
2. Search Title=Test</t>
  </si>
  <si>
    <t>1. Đăng nhập thành công
2. Hệ thống trả về đúng dữ liệu</t>
  </si>
  <si>
    <t>1. Đăng nhập Dev
2. Search Version=1.0</t>
  </si>
  <si>
    <t>1. Đăng nhập Author
2. Nhấn Review all version</t>
  </si>
  <si>
    <t>1. Đăng nhập thành công
2. Hệ thống hiển thị toàn bộ version</t>
  </si>
  <si>
    <t>1. Đăng nhập Tester
2. Nhấn Review all version</t>
  </si>
  <si>
    <t>1. Đăng nhập Dev
2. Nhấn Review all version</t>
  </si>
  <si>
    <t>1. Nhập URL /srs/create trực tiếp
2. Enter</t>
  </si>
  <si>
    <t>1. Trang load
2. Hệ thống kiểm tra quyền
3. Thông báo lỗi "Access Denied"</t>
  </si>
  <si>
    <t>1. Nhập URL /srs/update/112
2. Enter</t>
  </si>
  <si>
    <t>1. Trang load
2. Hệ thống kiểm tra quyền
3. Thông báo "Access Denied"</t>
  </si>
  <si>
    <t>1. Author Update SRS113
2. Tester Search cùng lúc</t>
  </si>
  <si>
    <t>1. Author update thành công
2. Tester vẫn tìm kiếm bình thường
3. Không xung đột dữ liệu</t>
  </si>
  <si>
    <t>1. Đăng nhập từng role
2. Vào SRS Management
3. Quan sát các nút Create/Update/Delete</t>
  </si>
  <si>
    <t>1. Author thấy đầy đủ
2. Tester chỉ thấy Search
3. Dev chỉ thấy Search4. Không hiển thị sai</t>
  </si>
  <si>
    <t>Tạo Test Plan gắn với SRS hợp lệ</t>
  </si>
  <si>
    <t>Link Test Plan</t>
  </si>
  <si>
    <t>Có SRS201</t>
  </si>
  <si>
    <t>Tạo Test Plan với SRS không tồn tại</t>
  </si>
  <si>
    <t>Không có SRS999</t>
  </si>
  <si>
    <t>Xóa SRS đang gắn Test Plan</t>
  </si>
  <si>
    <t>SRS202 đã có Test Plan TP_A</t>
  </si>
  <si>
    <t>SRS202</t>
  </si>
  <si>
    <t>Cập nhật SRS và kiểm tra Test Plan liên kết</t>
  </si>
  <si>
    <t>SRS203 đã gắn Test Plan</t>
  </si>
  <si>
    <t>Title="Update203"</t>
  </si>
  <si>
    <t>Tạo Test Case gắn với SRS qua Test Plan</t>
  </si>
  <si>
    <t>Link Test Case</t>
  </si>
  <si>
    <t>SRS204 → TP_C</t>
  </si>
  <si>
    <t>TC_001</t>
  </si>
  <si>
    <t>Tạo Test Case với Test Plan không gắn SRS</t>
  </si>
  <si>
    <t>Test Plan TP_X không có SRS</t>
  </si>
  <si>
    <t>TC_002</t>
  </si>
  <si>
    <t>Xóa SRS khi có Test Case liên kết</t>
  </si>
  <si>
    <t>SRS205 có Test Plan TP_Y và Test Case TC_003</t>
  </si>
  <si>
    <t>SRS205</t>
  </si>
  <si>
    <t>Cập nhật version SRS ảnh hưởng Test Case</t>
  </si>
  <si>
    <t>SRS206 → TP_Z → TC_004</t>
  </si>
  <si>
    <t>Version=2.0</t>
  </si>
  <si>
    <t>Có TP_D gắn SRS207</t>
  </si>
  <si>
    <t>Xuất Test Case liên quan đến 1 SRS</t>
  </si>
  <si>
    <t>Có nhiều TC gắn SRS208</t>
  </si>
  <si>
    <t>Tạo Defect từ Test Case gắn với SRS</t>
  </si>
  <si>
    <t>Link Defect</t>
  </si>
  <si>
    <t>TC_005 thuộc TP_E → SRS209</t>
  </si>
  <si>
    <t>DF_001</t>
  </si>
  <si>
    <t>Xem Defect theo SRS</t>
  </si>
  <si>
    <t>Có Defect DF_002 thuộc TC → SRS210</t>
  </si>
  <si>
    <t>Xóa SRS khi có Defect liên kết</t>
  </si>
  <si>
    <t>SRS211 có Defect DF_003</t>
  </si>
  <si>
    <t>SRS211</t>
  </si>
  <si>
    <t>Cập nhật SRS hiển thị trong Defect liên kết</t>
  </si>
  <si>
    <t>SRS212 có Defect DF_004</t>
  </si>
  <si>
    <t>Title="New Title 212"</t>
  </si>
  <si>
    <t>Xuất danh sách Defect theo SRS</t>
  </si>
  <si>
    <t>Có Defect gắn SRS213</t>
  </si>
  <si>
    <t>Xem báo cáo Test Plan theo từng SRS</t>
  </si>
  <si>
    <t>Có nhiều Test Plan thuộc SRS214</t>
  </si>
  <si>
    <t>Xem báo cáo Test Case theo từng SRS</t>
  </si>
  <si>
    <t>Có nhiều Test Case thuộc SRS215</t>
  </si>
  <si>
    <t>Xem báo cáo Defect theo từng SRS</t>
  </si>
  <si>
    <t>Có nhiều Defect thuộc SRS216</t>
  </si>
  <si>
    <t>1. Vào báo cáo Defect2. Filter theo SRS216</t>
  </si>
  <si>
    <t>1. Báo cáo hiển thị đúng số Defect của SRS216</t>
  </si>
  <si>
    <t>Import Test Case vào SRS</t>
  </si>
  <si>
    <t>Có SRS217, file import TC</t>
  </si>
  <si>
    <t>File TC.xlsx</t>
  </si>
  <si>
    <t>Import Test Plan vào SRS</t>
  </si>
  <si>
    <t>Có SRS218, file import TP</t>
  </si>
  <si>
    <t>File TP.xlsx</t>
  </si>
  <si>
    <t>Kiểm tra giao diện màn hình SRS List</t>
  </si>
  <si>
    <t>Kiểm tra responsive trên màn hình nhỏ</t>
  </si>
  <si>
    <t>Dùng trình duyệt mobile</t>
  </si>
  <si>
    <t>Kiểm tra tốc độ load danh sách với 1000 SRS</t>
  </si>
  <si>
    <t>Load Time</t>
  </si>
  <si>
    <t>CSDL có 1000 bản ghi</t>
  </si>
  <si>
    <t>1. Vào SRS Management</t>
  </si>
  <si>
    <t>Kiểm tra phân trang danh sách SRS</t>
  </si>
  <si>
    <t>Paging</t>
  </si>
  <si>
    <t>Có 50 SRS trong DB</t>
  </si>
  <si>
    <t>Kiểm tra phân trang khi chuyển trang nhanh liên tục</t>
  </si>
  <si>
    <t>Có 200 SRS</t>
  </si>
  <si>
    <t>Xuất toàn bộ danh sách SRS ra Excel</t>
  </si>
  <si>
    <t>Export</t>
  </si>
  <si>
    <t>Có nhiều SRS</t>
  </si>
  <si>
    <t>Xuất dữ liệu theo bộ lọc ID</t>
  </si>
  <si>
    <t>Có SRS lọc theo ID</t>
  </si>
  <si>
    <t>SRS301</t>
  </si>
  <si>
    <t>Export file dung lượng lớn (5000 record)</t>
  </si>
  <si>
    <t>CSDL có 5000 SRS</t>
  </si>
  <si>
    <t>1. Nhấn Export All</t>
  </si>
  <si>
    <t>Upload file dung lượng lớn (20MB)</t>
  </si>
  <si>
    <t>Upload</t>
  </si>
  <si>
    <t>File .docx 20MB</t>
  </si>
  <si>
    <t>File lớn</t>
  </si>
  <si>
    <t>Upload file vượt quá dung lượng cho phép</t>
  </si>
  <si>
    <t>File &gt; 50MB</t>
  </si>
  <si>
    <t>File quá lớn</t>
  </si>
  <si>
    <t>Nhập dữ liệu script XSS vào Title</t>
  </si>
  <si>
    <t>Validation</t>
  </si>
  <si>
    <t>Người dùng login</t>
  </si>
  <si>
    <t>Script XSS</t>
  </si>
  <si>
    <t>Thử SQL Injection ở SRS ID</t>
  </si>
  <si>
    <t>' OR 1=1--</t>
  </si>
  <si>
    <t>Nhập dữ liệu quá dài ở Title (500 ký tự)</t>
  </si>
  <si>
    <t>Input</t>
  </si>
  <si>
    <t>Title=500 ký tự "A"</t>
  </si>
  <si>
    <t>Nhập ký tự Unicode đặc biệt ở Description</t>
  </si>
  <si>
    <t>"Test 😁🚀"</t>
  </si>
  <si>
    <t>Kiểm tra timeout khi không thao tác trong 30 phút</t>
  </si>
  <si>
    <t>Session</t>
  </si>
  <si>
    <t>Đăng nhập thành công</t>
  </si>
  <si>
    <t>Truy cập API lấy danh sách SRS khi chưa login</t>
  </si>
  <si>
    <t>API</t>
  </si>
  <si>
    <t>1. Gửi request GET /api/srs không login</t>
  </si>
  <si>
    <t>Truy cập API tạo SRS với token hết hạn</t>
  </si>
  <si>
    <t>Token hết hạn</t>
  </si>
  <si>
    <t>1. Gửi POST /api/srs với token hết hạn</t>
  </si>
  <si>
    <t>1. API trả về 403 Forbidden2. Không tạo mới</t>
  </si>
  <si>
    <t>Kiểm tra đồng thời 50 user cùng tạo SRS</t>
  </si>
  <si>
    <t>50 user đăng nhập</t>
  </si>
  <si>
    <t>1. 50 user gửi POST tạo SRS cùng lúc</t>
  </si>
  <si>
    <t>1. Hệ thống xử lý đúng2. Không crash3. ID không bị trùng</t>
  </si>
  <si>
    <t>Kiểm tra backup dữ liệu SRS</t>
  </si>
  <si>
    <t>Backup</t>
  </si>
  <si>
    <t>1. File backup tạo thành công2. Chứa đầy đủ dữ liệu</t>
  </si>
  <si>
    <t>Kiểm tra khôi phục dữ liệu từ backup</t>
  </si>
  <si>
    <t>Restore</t>
  </si>
  <si>
    <t>Có file backup</t>
  </si>
  <si>
    <t>TC_TP_001</t>
  </si>
  <si>
    <t>TC_TP_002</t>
  </si>
  <si>
    <t>TC_TP_003</t>
  </si>
  <si>
    <t>TC_TP_004</t>
  </si>
  <si>
    <t>TC_TP_005</t>
  </si>
  <si>
    <t>TC_TP_006</t>
  </si>
  <si>
    <t>TC_TP_007</t>
  </si>
  <si>
    <t>TC_TP_008</t>
  </si>
  <si>
    <t>TC_TP_009</t>
  </si>
  <si>
    <t>TC_TP_010</t>
  </si>
  <si>
    <t>TC_TP_011</t>
  </si>
  <si>
    <t>TC_TP_012</t>
  </si>
  <si>
    <t>TC_TP_013</t>
  </si>
  <si>
    <t>TC_TP_014</t>
  </si>
  <si>
    <t>TC_TP_015</t>
  </si>
  <si>
    <t>TC_TP_016</t>
  </si>
  <si>
    <t>TC_TP_017</t>
  </si>
  <si>
    <t>TC_TP_018</t>
  </si>
  <si>
    <t>TC_TP_019</t>
  </si>
  <si>
    <t>TC_TP_020</t>
  </si>
  <si>
    <t>TC_TP_021</t>
  </si>
  <si>
    <t>TC_TP_022</t>
  </si>
  <si>
    <t>TC_TP_023</t>
  </si>
  <si>
    <t>TC_TP_024</t>
  </si>
  <si>
    <t>TC_TP_025</t>
  </si>
  <si>
    <t>TC_TP_026</t>
  </si>
  <si>
    <t>TC_TP_027</t>
  </si>
  <si>
    <t>TC_TP_028</t>
  </si>
  <si>
    <t>TC_TP_029</t>
  </si>
  <si>
    <t>TC_TP_030</t>
  </si>
  <si>
    <t>TC_TP_031</t>
  </si>
  <si>
    <t>TC_TP_032</t>
  </si>
  <si>
    <t>TC_TP_033</t>
  </si>
  <si>
    <t>TC_TP_034</t>
  </si>
  <si>
    <t>TC_TP_035</t>
  </si>
  <si>
    <t>TC_TP_036</t>
  </si>
  <si>
    <t>TC_TP_037</t>
  </si>
  <si>
    <t>TC_TP_038</t>
  </si>
  <si>
    <t>TC_TP_039</t>
  </si>
  <si>
    <t>TC_TP_040</t>
  </si>
  <si>
    <t>TC_TP_041</t>
  </si>
  <si>
    <t>TC_TP_042</t>
  </si>
  <si>
    <t>TC_TP_043</t>
  </si>
  <si>
    <t>TC_TP_044</t>
  </si>
  <si>
    <t>TC_TP_045</t>
  </si>
  <si>
    <t>TC_TP_046</t>
  </si>
  <si>
    <t>TC_TP_047</t>
  </si>
  <si>
    <t>TC_TP_048</t>
  </si>
  <si>
    <t>TC_TP_049</t>
  </si>
  <si>
    <t>TC_TP_050</t>
  </si>
  <si>
    <t>TC_TP_051</t>
  </si>
  <si>
    <t>TC_TP_052</t>
  </si>
  <si>
    <t>TC_TP_053</t>
  </si>
  <si>
    <t>TC_TP_054</t>
  </si>
  <si>
    <t>TC_TP_055</t>
  </si>
  <si>
    <t>TC_TP_056</t>
  </si>
  <si>
    <t>TC_TP_057</t>
  </si>
  <si>
    <t>TC_TP_058</t>
  </si>
  <si>
    <t>TC_TP_059</t>
  </si>
  <si>
    <t>TC_TP_060</t>
  </si>
  <si>
    <t>TC_TP_061</t>
  </si>
  <si>
    <t>TC_TP_062</t>
  </si>
  <si>
    <t>TC_TP_063</t>
  </si>
  <si>
    <t>TC_TP_064</t>
  </si>
  <si>
    <t>TC_TP_065</t>
  </si>
  <si>
    <t>TC_TP_066</t>
  </si>
  <si>
    <t>TC_TP_067</t>
  </si>
  <si>
    <t>TC_TP_068</t>
  </si>
  <si>
    <t>TC_TP_069</t>
  </si>
  <si>
    <t>TC_TP_070</t>
  </si>
  <si>
    <t>TC_TP_071</t>
  </si>
  <si>
    <t>TC_TP_072</t>
  </si>
  <si>
    <t>TC_TP_073</t>
  </si>
  <si>
    <t>TC_TP_074</t>
  </si>
  <si>
    <t>TC_TP_075</t>
  </si>
  <si>
    <t>TC_TP_076</t>
  </si>
  <si>
    <t>TC_TP_077</t>
  </si>
  <si>
    <t>TC_TP_078</t>
  </si>
  <si>
    <t>TC_TP_079</t>
  </si>
  <si>
    <t>TC_TP_080</t>
  </si>
  <si>
    <t>TC_TP_081</t>
  </si>
  <si>
    <t>TC_TP_082</t>
  </si>
  <si>
    <t>TC_TP_083</t>
  </si>
  <si>
    <t>TC_TP_084</t>
  </si>
  <si>
    <t>TC_TP_085</t>
  </si>
  <si>
    <t>TC_TP_086</t>
  </si>
  <si>
    <t>TC_TP_087</t>
  </si>
  <si>
    <t>TC_TP_088</t>
  </si>
  <si>
    <t>TC_TP_089</t>
  </si>
  <si>
    <t>TC_TP_090</t>
  </si>
  <si>
    <t>TC_TP_091</t>
  </si>
  <si>
    <t>TC_TP_092</t>
  </si>
  <si>
    <t>TC_TP_093</t>
  </si>
  <si>
    <t>TC_TP_094</t>
  </si>
  <si>
    <t>TC_TP_095</t>
  </si>
  <si>
    <t>TC_TP_096</t>
  </si>
  <si>
    <t>TC_TP_097</t>
  </si>
  <si>
    <t>TC_TP_098</t>
  </si>
  <si>
    <t>TC_TP_099</t>
  </si>
  <si>
    <t>TC_TP_100</t>
  </si>
  <si>
    <t>Có SRS hợp lệ trong DB</t>
  </si>
  <si>
    <t>TP001 – Gắn SRS001 – Version 1.0 – File.docx</t>
  </si>
  <si>
    <t>Tạo Test Plan không nhập Title</t>
  </si>
  <si>
    <t>Có SRS</t>
  </si>
  <si>
    <t>Tạo Test Plan không chọn SRS</t>
  </si>
  <si>
    <t>SRS trống</t>
  </si>
  <si>
    <t>Tạo Test Plan với Start Date lớn hơn End Date</t>
  </si>
  <si>
    <t>Start &gt; End</t>
  </si>
  <si>
    <t>Tạo Test Plan với ngày trong tương lai</t>
  </si>
  <si>
    <t>Ngày 2030</t>
  </si>
  <si>
    <t>Tạo Test Plan với file không đúng định dạng</t>
  </si>
  <si>
    <t>File=plan.png</t>
  </si>
  <si>
    <t>Tạo Test Plan với nhiều Tester được chọn</t>
  </si>
  <si>
    <t>Có danh sách Tester</t>
  </si>
  <si>
    <t>Tester A, Tester B</t>
  </si>
  <si>
    <t>Tạo Test Plan với Status hợp lệ</t>
  </si>
  <si>
    <t>Status=Đang soạn thảo</t>
  </si>
  <si>
    <t>Tạo Test Plan nhấn Cancel</t>
  </si>
  <si>
    <t>Có Test Plan TP_A</t>
  </si>
  <si>
    <t>TP_A</t>
  </si>
  <si>
    <t>Tìm kiếm Test Plan theo Title không tồn tại</t>
  </si>
  <si>
    <t>Có dữ liệu</t>
  </si>
  <si>
    <t>Có TP_B gắn SRS002</t>
  </si>
  <si>
    <t>SRS002</t>
  </si>
  <si>
    <t>Có TP_C Version=1.0</t>
  </si>
  <si>
    <t>Có TP_D Status=Đã phê duyệt</t>
  </si>
  <si>
    <t>Status=Approved</t>
  </si>
  <si>
    <t>Tìm kiếm Test Plan với trường rỗng</t>
  </si>
  <si>
    <t>Có nhiều Test Plan</t>
  </si>
  <si>
    <t>Tìm kiếm Test Plan với ký tự đặc biệt</t>
  </si>
  <si>
    <t>Có TP_E Title=Plan@2025</t>
  </si>
  <si>
    <t>Plan@2025</t>
  </si>
  <si>
    <t>Tìm kiếm Test Plan không phân biệt hoa thường</t>
  </si>
  <si>
    <t>Có TP_F Title=Kế hoạch Test</t>
  </si>
  <si>
    <t>lowercase</t>
  </si>
  <si>
    <t>Tìm kiếm Test Plan với dữ liệu SQL Injection</t>
  </si>
  <si>
    <t>Tìm kiếm Test Plan với chuỗi dài (1000 ký tự)</t>
  </si>
  <si>
    <t>1000 ký tự “A”</t>
  </si>
  <si>
    <t>Tìm kiếm Test Plan trả về nhiều kết quả</t>
  </si>
  <si>
    <t>Có nhiều TP Version=1.0</t>
  </si>
  <si>
    <t>1. Vào Test Plan Management
2. Nhấn Add
3. Chọn SRS, nhập Title, Version, Description, Start Date, End Date, Status, File
4. Nhấn Add</t>
  </si>
  <si>
    <t>1. Vào Create TP
2. Chọn SRS001
3. Bỏ trống Title
4. Nhấn Add</t>
  </si>
  <si>
    <t>1. Vào Create TP
2. Bỏ trống trường SRS
3. Nhập các dữ liệu khác
4. Nhấn Add</t>
  </si>
  <si>
    <t>1. Vào Create TP
2. Nhập Start=10/10/2025, End=01/10/2025
3. Nhấn Add</t>
  </si>
  <si>
    <t>1. Vào Create TP
2. Nhập Start=01/01/2030, End=01/02/2030
3. Nhấn Add</t>
  </si>
  <si>
    <t>1. Vào Create TP
2. Upload file .png
3. Nhấn Add</t>
  </si>
  <si>
    <t>1. Form hiển thị
2. Người dùng bỏ trống
3. Hệ thống báo lỗi "Phải chọn SRS"</t>
  </si>
  <si>
    <t>1. Form hiển thị
2. File không hợp lệ
3. Hệ thống báo lỗi "Chỉ chấp nhận .pdf, .docx"</t>
  </si>
  <si>
    <t>1. Form hiển thị
3. Hệ thống lưu thành công</t>
  </si>
  <si>
    <t>1. Vào Create TP
2. Nhập Title
3. Chọn Status=“Đang soạn thảo”
4. Nhấn Add</t>
  </si>
  <si>
    <t>1. Vào Create TP
2. Nhập dữ liệu
3. Nhấn Cancel</t>
  </si>
  <si>
    <t>1. Vào Test Plan List
2. Nhập Title=TP_A
3. Nhấn Search</t>
  </si>
  <si>
    <t>1. Form hiển thị
3. Hệ thống trả về đúng kết quả</t>
  </si>
  <si>
    <t>1. Vào Search
2. Nhập Title=XYZ999
3. Nhấn Search</t>
  </si>
  <si>
    <t>1. Form hiển thị
3. Hệ thống trả về "Không có kết quả"</t>
  </si>
  <si>
    <t>1. Vào Search
2. Nhập SRS002
3. Nhấn Search</t>
  </si>
  <si>
    <t>1. Form hiển thị
3. Hệ thống trả về Test Plan đúng</t>
  </si>
  <si>
    <t>1. Vào Search
2. Nhập Status=Đã phê duyệt
3. Nhấn Search</t>
  </si>
  <si>
    <t>1. Form hiển thị
3. Hệ thống trả về đúng Test Plan</t>
  </si>
  <si>
    <t>1. Vào Search
2. Nhập Title=Plan@2025
3. Nhấn Search</t>
  </si>
  <si>
    <t>1. Vào Search
2. Nhập “kế hoạch test”
3. Nhấn Search</t>
  </si>
  <si>
    <t>1. Form hiển thị
3. Hệ thống vẫn tìm đúng</t>
  </si>
  <si>
    <t>1. Form hiển thị
2. Hệ thống chặn query
3. Không trả về dữ liệu toàn DB</t>
  </si>
  <si>
    <t>1. Form hiển thị
2. Hệ thống xử lý
3. Không crash, trả về “Không có kết quả”</t>
  </si>
  <si>
    <t>1. Form hiển thị
2. Người dùng nhập điều kiện
3. Hệ thống trả về nhiều kết quả, phân trang đúng</t>
  </si>
  <si>
    <t>Cập nhật Title Test Plan thành công</t>
  </si>
  <si>
    <t>Có TP001</t>
  </si>
  <si>
    <t>Cập nhật Version thành công</t>
  </si>
  <si>
    <t>Có TP002</t>
  </si>
  <si>
    <t>Cập nhật Status thành công</t>
  </si>
  <si>
    <t>Có TP003</t>
  </si>
  <si>
    <t>Cập nhật Start Date hợp lệ</t>
  </si>
  <si>
    <t>Có TP004</t>
  </si>
  <si>
    <t>Ngày mới</t>
  </si>
  <si>
    <t>Cập nhật End Date nhỏ hơn Start Date</t>
  </si>
  <si>
    <t>Có TP005</t>
  </si>
  <si>
    <t>Ngày sai</t>
  </si>
  <si>
    <t>Cập nhật file hợp lệ (.docx)</t>
  </si>
  <si>
    <t>Có TP006</t>
  </si>
  <si>
    <t>File.docx</t>
  </si>
  <si>
    <t>Cập nhật file sai định dạng (.jpg)</t>
  </si>
  <si>
    <t>Có TP007</t>
  </si>
  <si>
    <t>File.jpg</t>
  </si>
  <si>
    <t>Cập nhật Description dài (500 ký tự)</t>
  </si>
  <si>
    <t>Có TP008</t>
  </si>
  <si>
    <t>Chuỗi 500 ký tự</t>
  </si>
  <si>
    <t>Cập nhật với Title rỗng</t>
  </si>
  <si>
    <t>Có TP009</t>
  </si>
  <si>
    <t>Cập nhật nhiều trường cùng lúc</t>
  </si>
  <si>
    <t>Có TP010</t>
  </si>
  <si>
    <t>Title, Version, Status mới</t>
  </si>
  <si>
    <t>Cập nhật nhưng nhấn Cancel</t>
  </si>
  <si>
    <t>Có TP011</t>
  </si>
  <si>
    <t>Xóa Test Plan thành công</t>
  </si>
  <si>
    <t>Có TP012</t>
  </si>
  <si>
    <t>TP012</t>
  </si>
  <si>
    <t>Xóa Test Plan nhưng chọn Cancel</t>
  </si>
  <si>
    <t>Có TP013</t>
  </si>
  <si>
    <t>TP013</t>
  </si>
  <si>
    <t>Xóa Test Plan không tồn tại</t>
  </si>
  <si>
    <t>Không có TP999</t>
  </si>
  <si>
    <t>TP999</t>
  </si>
  <si>
    <t>Xóa nhiều Test Plan cùng lúc</t>
  </si>
  <si>
    <t>Có TP014, TP015</t>
  </si>
  <si>
    <t>TP014, TP015</t>
  </si>
  <si>
    <t>Xóa Test Plan đang gắn Test Case</t>
  </si>
  <si>
    <t>TP016 đã có Test Case liên kết</t>
  </si>
  <si>
    <t>TP016</t>
  </si>
  <si>
    <t>Xóa Test Plan đang gắn SRS</t>
  </si>
  <si>
    <t>TP017 gắn với SRS005</t>
  </si>
  <si>
    <t>TP017</t>
  </si>
  <si>
    <t>Xóa Test Plan đã bị khóa (Status=Approved)</t>
  </si>
  <si>
    <t>TP018 đã Approved</t>
  </si>
  <si>
    <t>TP018</t>
  </si>
  <si>
    <t>Kiểm tra log sau khi xóa Test Plan</t>
  </si>
  <si>
    <t>Có TP019</t>
  </si>
  <si>
    <t>TP019</t>
  </si>
  <si>
    <t>Xóa Test Plan khi không có quyền</t>
  </si>
  <si>
    <t>Đăng nhập với Tester</t>
  </si>
  <si>
    <t>TP020</t>
  </si>
  <si>
    <t>1. Vào Test Plan Management
2. Chọn Update TP001
3. Sửa Title thành “Test Plan Mới”
4. Nhấn Update</t>
  </si>
  <si>
    <t>1. Vào Update TP002
2. Thay đổi Version = 2.0
3. Nhấn Update</t>
  </si>
  <si>
    <t>1. Vào Update TP003
2. Thay đổi Status = “Approved”
3. Nhấn Update</t>
  </si>
  <si>
    <t>1. Vào Update TP004
2. Chọn Start Date = 05/10/2025
3. Nhấn Update</t>
  </si>
  <si>
    <t>1. Vào Update TP005
2. Chọn End Date &lt; Start Date
3. Nhấn Update</t>
  </si>
  <si>
    <t>1. Vào Update TP006
2. Upload file TestPlan.docx
3. Nhấn Update</t>
  </si>
  <si>
    <t>1. Vào Update TP007
2. Upload file .jpg
3. Nhấn Update</t>
  </si>
  <si>
    <t>1. Vào Update TP008
2. Nhập mô tả dài 500 ký tự
3. Nhấn Update</t>
  </si>
  <si>
    <t>1. Vào Update TP009
2. Xóa Title
3. Nhấn Update</t>
  </si>
  <si>
    <t>1. Vào Update TP010
2. Đổi Title, Version, Status
3. Nhấn Update</t>
  </si>
  <si>
    <t>1. Vào Update TP011
2. Thay đổi Title
3. Nhấn Cancel</t>
  </si>
  <si>
    <t>1. Vào Test Plan List
2. Chọn Delete TP012
3. Xác nhận Yes</t>
  </si>
  <si>
    <t>1. Vào List
2. Chọn Delete TP013
3. Chọn Cancel</t>
  </si>
  <si>
    <t>1. Vào List
2. Thử Delete TP999</t>
  </si>
  <si>
    <t>1. Vào List
2. Chọn nhiều checkbox
3. Nhấn Delete</t>
  </si>
  <si>
    <t>1. Vào List
2. Chọn Delete TP016
3. Nhấn Yes</t>
  </si>
  <si>
    <t>1. Vào List
2. Chọn Delete TP017
3. Nhấn Yes</t>
  </si>
  <si>
    <t>1. Vào List
2. Chọn Delete TP0183. Nhấn Yes</t>
  </si>
  <si>
    <t>1. Vào List
2. Chọn Delete TP019
3. Nhấn Yes
4. Vào Audit Log</t>
  </si>
  <si>
    <t>1. Login Tester
2. Vào Test Plan List
3. Thử Delete TP020</t>
  </si>
  <si>
    <t>1. Tester login thành công
2. Nút Delete disable
3. Báo lỗi “Không đủ quyền”</t>
  </si>
  <si>
    <t>1. Danh sách hiển thị
3. Audit Log ghi lại thao tác</t>
  </si>
  <si>
    <t>1. Danh sách hiển thị
3. Hệ thống báo “Không thể xóa Test Plan đã Approved”</t>
  </si>
  <si>
    <t>1. Danh sách hiển thị
3. Hệ thống báo “Không thể xóa vì đang gắn với SRS”</t>
  </si>
  <si>
    <t>1. Danh sách hiển thị
3. Hệ thống báo “Không thể xóa vì có Test Case liên kết”</t>
  </si>
  <si>
    <t>1. Danh sách hiển thị
3. Hệ thống xóa tất cả thành công</t>
  </si>
  <si>
    <t>1. Danh sách hiển thị
3. Hệ thống báo “Không tồn tại”</t>
  </si>
  <si>
    <t>1. Danh sách hiển thị
3. Hệ thống không xóa</t>
  </si>
  <si>
    <t>1. Danh sách hiển thị
3. Hệ thống xóa thành công</t>
  </si>
  <si>
    <t>1. Form hiển thị
3. Dữ liệu không thay đổi</t>
  </si>
  <si>
    <t>1. Form hiển thị
3. Hệ thống báo lỗi “Title bắt buộc”</t>
  </si>
  <si>
    <t>1. Form hiển thị
3. Hệ thống lưu thành công nếu cho phép hoặc báo lỗi nếu vượt giới hạn</t>
  </si>
  <si>
    <t>1. Form hiển thị
3. Hệ thống báo lỗi “File không hợp lệ”</t>
  </si>
  <si>
    <t>1. Form hiển thị
3. Hệ thống lưu file mới</t>
  </si>
  <si>
    <t>1. Form hiển thị
3. Hệ thống báo lỗi “Ngày kết thúc phải lớn hơn ngày bắt đầu”</t>
  </si>
  <si>
    <t>1. Form hiển thị
3. Hệ thống cập nhật thành công</t>
  </si>
  <si>
    <t>1. Form hiển thị
3. Hệ thống lưu và hiển thị Title mới</t>
  </si>
  <si>
    <t>Author tạo mới Test Plan thành công</t>
  </si>
  <si>
    <t>Login Author</t>
  </si>
  <si>
    <t>TP_A1</t>
  </si>
  <si>
    <t>Tester cố gắng tạo Test Plan</t>
  </si>
  <si>
    <t>Login Tester</t>
  </si>
  <si>
    <t>Dev cố gắng tạo Test Plan</t>
  </si>
  <si>
    <t>Login Dev</t>
  </si>
  <si>
    <t>Author cập nhật Test Plan thành công</t>
  </si>
  <si>
    <t>TP_A2 đã tồn tại</t>
  </si>
  <si>
    <t>Tester cập nhật Test Plan</t>
  </si>
  <si>
    <t>TP_A3 đã tồn tại</t>
  </si>
  <si>
    <t>Dev cập nhật Test Plan</t>
  </si>
  <si>
    <t>TP_A4 đã tồn tại</t>
  </si>
  <si>
    <t>Author xóa Test Plan thành công</t>
  </si>
  <si>
    <t>Có TP_A5</t>
  </si>
  <si>
    <t>TP_A5</t>
  </si>
  <si>
    <t>Tester cố gắng xóa Test Plan</t>
  </si>
  <si>
    <t>Có TP_A6</t>
  </si>
  <si>
    <t>TP_A6</t>
  </si>
  <si>
    <t>Dev cố gắng xóa Test Plan</t>
  </si>
  <si>
    <t>Có TP_A7</t>
  </si>
  <si>
    <t>TP_A7</t>
  </si>
  <si>
    <t>Author tìm kiếm Test Plan</t>
  </si>
  <si>
    <t>Có TP_A8</t>
  </si>
  <si>
    <t>TP_A8</t>
  </si>
  <si>
    <t>Tester tìm kiếm Test Plan</t>
  </si>
  <si>
    <t>Có TP_A9</t>
  </si>
  <si>
    <t>TP_A9</t>
  </si>
  <si>
    <t>Dev tìm kiếm Test Plan</t>
  </si>
  <si>
    <t>Có TP_A10</t>
  </si>
  <si>
    <t>TP_A10</t>
  </si>
  <si>
    <t>Tester truy cập trực tiếp link Create Test Plan</t>
  </si>
  <si>
    <t>Dev truy cập trực tiếp link Update Test Plan</t>
  </si>
  <si>
    <t>TP_A11</t>
  </si>
  <si>
    <t>Author xem log Test Plan</t>
  </si>
  <si>
    <t>Có TP_A12</t>
  </si>
  <si>
    <t>TP_A12</t>
  </si>
  <si>
    <t>Tester xem log Test Plan</t>
  </si>
  <si>
    <t>Có TP_A13</t>
  </si>
  <si>
    <t>TP_A13</t>
  </si>
  <si>
    <t>Dev xem log Test Plan</t>
  </si>
  <si>
    <t>Có TP_A14</t>
  </si>
  <si>
    <t>TP_A14</t>
  </si>
  <si>
    <t>TP_A15</t>
  </si>
  <si>
    <t>TP_A16</t>
  </si>
  <si>
    <t>1. Đăng nhập Author
2. Vào Test Plan
3. Nhấn Add
4. Nhập dữ liệu hợp lệ
5. Nhấn Save</t>
  </si>
  <si>
    <t>1. Đăng nhập thành công
2. Form hiển thị
5. Test Plan tạo thành công</t>
  </si>
  <si>
    <t>1. Đăng nhập Tester
2. Vào Test Plan
3. Thử nhấn Add</t>
  </si>
  <si>
    <t>1. Đăng nhập thành công
2. Nút Add không hiển thị hoặc disable
3. Hệ thống báo “Không đủ quyền”</t>
  </si>
  <si>
    <t>1. Đăng nhập Dev
2. Vào Test Plan
3. Thử nhấn Add</t>
  </si>
  <si>
    <t>1. Đăng nhập thành công
2. Nút Add ẩn/disable
3. Hệ thống báo “Không đủ quyền”</t>
  </si>
  <si>
    <t>1. Login Author
2. Vào Test Plan
3. Chọn Update TP_A24. Sửa Title5. Nhấn Save</t>
  </si>
  <si>
    <t>1. Form hiển thị
2. Người dùng sửa Title
3. Hệ thống lưu thành công</t>
  </si>
  <si>
    <t>1. Login Tester
2. Vào Test Plan
3. Thử Update TP_A3</t>
  </si>
  <si>
    <t>1. Đăng nhập thành công
2. Nút Update không hiển thị
3. Nếu truy cập URL trực tiếp thì báo lỗi quyền</t>
  </si>
  <si>
    <t>1. Login Dev
2. Vào Test Plan
3. Thử Update TP_A4</t>
  </si>
  <si>
    <t>1. Đăng nhập thành công
2. Không có quyền update
3. Hệ thống từ chối</t>
  </si>
  <si>
    <t>1. Login Author
2. Vào Test Plan
3. Chọn Delete TP_A5
4. Xác nhận Yes</t>
  </si>
  <si>
    <t>1. Form hiển thị
2. Người dùng chọn Delete
4. Hệ thống xóa thành công</t>
  </si>
  <si>
    <t>1. Login Tester
2. Vào Test Plan
3. Thử Delete TP_A6</t>
  </si>
  <si>
    <t>1. Đăng nhập thành công
2. Nút Delete không hiển thị
3. Nếu truy cập trực tiếp, hệ thống báo “Không đủ quyền”</t>
  </si>
  <si>
    <t>1. Login Dev
2. Vào Test Plan
3. Thử Delete TP_A7</t>
  </si>
  <si>
    <t>1. Đăng nhập thành công
2. Không có quyền Delete
3. Hệ thống từ chối thao tác</t>
  </si>
  <si>
    <t>1. Đăng nhập thành công
2. Search hiển thị đúng dữ liệu</t>
  </si>
  <si>
    <t>1. Login Author
2. Vào Test Plan
3. Search theo Title</t>
  </si>
  <si>
    <t>1. Login Tester
2. Vào Test Plan
3. Search theo Title</t>
  </si>
  <si>
    <t>1. Đăng nhập thành công
3. Search hiển thị đúng dữ liệu</t>
  </si>
  <si>
    <t>1. Login Dev
2. Vào Test Plan
3. Search theo Title</t>
  </si>
  <si>
    <t>1. Nhập URL /testplan/create trực tiếp
2. Enter</t>
  </si>
  <si>
    <t>1. Trang load
2. Hệ thống kiểm tra quyền
3. Báo lỗi “Access Denied”</t>
  </si>
  <si>
    <t>1. Nhập URL /testplan/update/TP_A11 trực tiếp
2. Enter</t>
  </si>
  <si>
    <t>1. Login Author
2. Vào Test Plan
3. Xem Audit Log</t>
  </si>
  <si>
    <t>1. Đăng nhập thành công
3. Audit Log hiển thị đầy đủ</t>
  </si>
  <si>
    <t>1. Login Tester
2. Vào Test Plan
3. Thử xem Audit Log</t>
  </si>
  <si>
    <t>1. Đăng nhập thành công
2. Nếu có quyền thì hiển thị log chỉ xem
3. Không cho chỉnh sửa</t>
  </si>
  <si>
    <t>1. Login Dev
2. Vào Test Plan
3. Thử xem Audit Log</t>
  </si>
  <si>
    <t>1. Đăng nhập thành công
2. Nếu có quyền thì chỉ xem
3. Không cho chỉnh sửa</t>
  </si>
  <si>
    <t>1. Author Update TP_A15
2. Tester Search cùng lúc</t>
  </si>
  <si>
    <t>1. Author update thành công
2. Tester vẫn search bình thường
3. Không xung đột dữ liệu</t>
  </si>
  <si>
    <t>1. Dev thử Delete TP_A16
2. Author Update cùng lúc</t>
  </si>
  <si>
    <t>1. Dev thao tác bị từ chối
2. Author update thành công
3. Không crash hệ thống</t>
  </si>
  <si>
    <t>1. Đăng nhập Author
2. Đăng nhập Tester
3. Đăng nhập Dev
4. Quan sát các nút</t>
  </si>
  <si>
    <t>1. Author thấy đầy đủ (Add/Update/Delete/Search)
2. Tester chỉ thấy Search
3. Dev chỉ thấy Search
4. Không hiển thị sai</t>
  </si>
  <si>
    <t>Link SRS</t>
  </si>
  <si>
    <t>Có SRS301</t>
  </si>
  <si>
    <t>TP301</t>
  </si>
  <si>
    <t>TP302</t>
  </si>
  <si>
    <t>Xóa SRS đang gắn với Test Plan</t>
  </si>
  <si>
    <t>SRS303 gắn với TP303</t>
  </si>
  <si>
    <t>SRS303</t>
  </si>
  <si>
    <t>Cập nhật SRS hiển thị trong Test Plan</t>
  </si>
  <si>
    <t>SRS304 → TP304</t>
  </si>
  <si>
    <t>1. Cập nhật thành công2. TP304 hiển thị Title SRS mới</t>
  </si>
  <si>
    <t>Tạo Test Case gắn với Test Plan hợp lệ</t>
  </si>
  <si>
    <t>TP305 đã có SRS</t>
  </si>
  <si>
    <t>TC305</t>
  </si>
  <si>
    <t>Tạo Test Case với Test Plan không có SRS</t>
  </si>
  <si>
    <t>TP_X không gắn SRS</t>
  </si>
  <si>
    <t>1. Vào Test Case2. Nhấn Add3. Chọn TP_X4. Nhấn Save</t>
  </si>
  <si>
    <t>TC_X</t>
  </si>
  <si>
    <t>1. Form hiển thị2. Người dùng chọn sai TP3. Hệ thống báo lỗi “Test Plan không gắn SRS”</t>
  </si>
  <si>
    <t>TP306 có TC306</t>
  </si>
  <si>
    <t>1. Vào Test Plan List2. Chọn Delete TP3063. Nhấn Yes</t>
  </si>
  <si>
    <t>TP306</t>
  </si>
  <si>
    <t>1. Form hiển thị2. Người dùng chọn Delete3. Hệ thống báo “Không thể xóa, Test Case đang liên kết”</t>
  </si>
  <si>
    <t>Cập nhật Test Plan hiển thị trong Test Case</t>
  </si>
  <si>
    <t>TP307 → TC307</t>
  </si>
  <si>
    <t>1. Update Title TP3072. Vào Test Case TC3073. Kiểm tra dữ liệu</t>
  </si>
  <si>
    <t>1. TP307 cập nhật thành công2. TC307 hiển thị Title mới</t>
  </si>
  <si>
    <t>Tìm kiếm Test Case theo Test Plan</t>
  </si>
  <si>
    <t>Có nhiều TC thuộc TP308</t>
  </si>
  <si>
    <t>1. Vào Test Case2. Search theo TP308</t>
  </si>
  <si>
    <t>1. Form hiển thị2. Hệ thống trả về đúng danh sách TC của TP308</t>
  </si>
  <si>
    <t>Xuất danh sách Test Case theo Test Plan</t>
  </si>
  <si>
    <t>TP309 có nhiều TC</t>
  </si>
  <si>
    <t>1. Vào Test Case2. Chọn Export3. Filter theo TP309</t>
  </si>
  <si>
    <t>1. File Excel tải về2. Chứa danh sách đúng TC của TP309</t>
  </si>
  <si>
    <t>Tạo Defect từ Test Case thuộc Test Plan</t>
  </si>
  <si>
    <t>TC310 → TP310</t>
  </si>
  <si>
    <t>1. Chạy Test Case TC3102. Mark Fail3. Nhấn Create Defect</t>
  </si>
  <si>
    <t>DF310</t>
  </si>
  <si>
    <t>1. Defect tạo thành công2. Được gắn với TC310 và TP310</t>
  </si>
  <si>
    <t>Xem Defect theo Test Plan</t>
  </si>
  <si>
    <t>Có Defect DF311 từ TC thuộc TP311</t>
  </si>
  <si>
    <t>1. Vào Defect2. Filter theo TP311</t>
  </si>
  <si>
    <t>1. Form hiển thị2. Danh sách Defect đúng</t>
  </si>
  <si>
    <t>Xóa Test Plan khi có Defect liên kết</t>
  </si>
  <si>
    <t>TP312 có Defect DF312</t>
  </si>
  <si>
    <t>1. Vào Test Plan2. Thử Delete TP312</t>
  </si>
  <si>
    <t>TP312</t>
  </si>
  <si>
    <t>1. Form hiển thị2. Người dùng chọn Delete3. Hệ thống báo “Không thể xóa vì có Defect”</t>
  </si>
  <si>
    <t>Cập nhật Test Plan hiển thị trong Defect liên kết</t>
  </si>
  <si>
    <t>TP313 → DF313</t>
  </si>
  <si>
    <t>1. Update Title TP3132. Vào Defect DF3133. Kiểm tra</t>
  </si>
  <si>
    <t>1. TP313 cập nhật thành công2. DF313 hiển thị Title mới</t>
  </si>
  <si>
    <t>Xuất danh sách Defect theo Test Plan</t>
  </si>
  <si>
    <t>Có Defect gắn TP314</t>
  </si>
  <si>
    <t>1. Vào Defect2. Export filter theo TP314</t>
  </si>
  <si>
    <t>1. File Excel tải về2. Chứa đúng Defect gắn với TP314</t>
  </si>
  <si>
    <t>Xem báo cáo Test Case theo Test Plan</t>
  </si>
  <si>
    <t>TP315 có nhiều TC</t>
  </si>
  <si>
    <t>1. Vào báo cáo Test Case2. Filter theo TP315</t>
  </si>
  <si>
    <t>1. Báo cáo hiển thị đúng số Test Case</t>
  </si>
  <si>
    <t>Xem báo cáo Defect theo Test Plan</t>
  </si>
  <si>
    <t>TP316 có nhiều Defect</t>
  </si>
  <si>
    <t>1. Vào báo cáo Defect2. Filter theo TP316</t>
  </si>
  <si>
    <t>1. Báo cáo hiển thị đúng số Defect</t>
  </si>
  <si>
    <t>Import Test Case vào Test Plan</t>
  </si>
  <si>
    <t>Import</t>
  </si>
  <si>
    <t>Có TP317</t>
  </si>
  <si>
    <t>1. Vào Test Case2. Nhấn Import3. Chọn file TC.xlsx gắn TP317</t>
  </si>
  <si>
    <t>1. Import thành công2. Test Case gắn TP317</t>
  </si>
  <si>
    <t>Import Defect gắn Test Plan</t>
  </si>
  <si>
    <t>Có TP318</t>
  </si>
  <si>
    <t>1. Vào Defect2. Nhấn Import3. Chọn file DF.xlsx gắn TP318</t>
  </si>
  <si>
    <t>File DF.xlsx</t>
  </si>
  <si>
    <t>1. Import thành công2. Defect gắn TP318</t>
  </si>
  <si>
    <t>Import Test Plan từ file Excel</t>
  </si>
  <si>
    <t>1. Vào Test Plan2. Nhấn Import3. Chọn file TP.xlsx</t>
  </si>
  <si>
    <t>1. Import thành công2. Test Plan mới hiển thị trong danh sách</t>
  </si>
  <si>
    <t>Kiểm tra giao diện danh sách Test Plan</t>
  </si>
  <si>
    <t>1. Vào Test Plan Management2. Quan sát giao diện</t>
  </si>
  <si>
    <t>1. Danh sách hiển thị theo bảng2. Có cột ID, Title, Version, SRS, Status, Start/End Date3. Nút Add/Update/Delete hiển thị đúng</t>
  </si>
  <si>
    <t>Kiểm tra responsive trên mobile</t>
  </si>
  <si>
    <t>Dùng thiết bị mobile</t>
  </si>
  <si>
    <t>1. Login mobile2. Vào Test Plan List</t>
  </si>
  <si>
    <t>1. Bảng hiển thị vừa màn hình2. Có cuộn ngang nếu cần3. Nút bấm rõ ràng</t>
  </si>
  <si>
    <t>Kiểm tra tốc độ load danh sách 1000 Test Plan</t>
  </si>
  <si>
    <t>DB có 1000 record</t>
  </si>
  <si>
    <t>1. Vào Test Plan List</t>
  </si>
  <si>
    <t>1. Hệ thống load &lt; 3s2. Không treo UI</t>
  </si>
  <si>
    <t>Kiểm tra phân trang danh sách Test Plan</t>
  </si>
  <si>
    <t>Có 50 record</t>
  </si>
  <si>
    <t>1. Vào List2. Quan sát phân trang</t>
  </si>
  <si>
    <t>1. Mỗi trang hiển thị đúng số record2. Nút Next/Prev hoạt động</t>
  </si>
  <si>
    <t>Chuyển trang nhanh liên tục</t>
  </si>
  <si>
    <t>Có 200 record</t>
  </si>
  <si>
    <t>1. Vào List2. Nhấn Next liên tục</t>
  </si>
  <si>
    <t>1. Hệ thống phản hồi mượt2. Không crash, không lặp dữ liệu</t>
  </si>
  <si>
    <t>Xuất toàn bộ Test Plan ra Excel</t>
  </si>
  <si>
    <t>Có nhiều TP</t>
  </si>
  <si>
    <t>1. Vào Test Plan2. Nhấn Export All</t>
  </si>
  <si>
    <t>1. File Excel tải thành công2. Có đầy đủ cột dữ liệu</t>
  </si>
  <si>
    <t>Xuất dữ liệu theo bộ lọc SRS</t>
  </si>
  <si>
    <t>Có TP gắn SRS401</t>
  </si>
  <si>
    <t>1. Search theo SRS4012. Nhấn Export Selected</t>
  </si>
  <si>
    <t>1. File chỉ chứa TP thuộc SRS401</t>
  </si>
  <si>
    <t>Export dữ liệu lớn (5000 TP)</t>
  </si>
  <si>
    <t>DB có 5000 TP</t>
  </si>
  <si>
    <t>1. File Excel xuất thành công2. Thời gian &lt; 10s3. Không thiếu dữ liệu</t>
  </si>
  <si>
    <t>1. Vào Create TP2. Upload file3. Save</t>
  </si>
  <si>
    <t>1. Upload thành công2. Thời gian hợp lý3. Không crash</t>
  </si>
  <si>
    <t>1. Upload file 60MB2. Nhấn Save</t>
  </si>
  <si>
    <t>1. Hệ thống báo “Dung lượng vượt quá cho phép”</t>
  </si>
  <si>
    <t>Kiểm tra XSS trong Title</t>
  </si>
  <si>
    <t>1. Hệ thống từ chối2. Không thực thi script</t>
  </si>
  <si>
    <t>Kiểm tra SQL Injection ở Test Plan ID</t>
  </si>
  <si>
    <t>1. Hệ thống từ chối2. Không leak dữ liệu</t>
  </si>
  <si>
    <t>Chuỗi dài</t>
  </si>
  <si>
    <t>1. Hệ thống xử lý2. Nếu vượt limit thì báo lỗi3. Không crash</t>
  </si>
  <si>
    <t>Nhập Unicode đặc biệt ở Description</t>
  </si>
  <si>
    <t>Emoji text</t>
  </si>
  <si>
    <t>1. Hệ thống lưu thành công2. Không lỗi font</t>
  </si>
  <si>
    <t>Kiểm tra timeout session sau 30 phút</t>
  </si>
  <si>
    <t>1. Hệ thống logout tự động2. Người dùng bị chuyển về login</t>
  </si>
  <si>
    <t>Truy cập API lấy Test Plan khi chưa login</t>
  </si>
  <si>
    <t>1. Gửi GET /api/testplan</t>
  </si>
  <si>
    <t>1. API trả về 401 Unauthorized</t>
  </si>
  <si>
    <t>Truy cập API tạo Test Plan với token hết hạn</t>
  </si>
  <si>
    <t>1. Gửi POST /api/testplan với token hết hạn</t>
  </si>
  <si>
    <t>Kiểm tra đồng thời 50 user tạo Test Plan</t>
  </si>
  <si>
    <t>50 user login</t>
  </si>
  <si>
    <t>1. 50 user gửi POST tạo TP cùng lúc</t>
  </si>
  <si>
    <t>Kiểm tra backup dữ liệu Test Plan</t>
  </si>
  <si>
    <t>1. Thực hiện backup hệ thống2. Kiểm tra file backup</t>
  </si>
  <si>
    <t>Kiểm tra restore dữ liệu Test Plan từ backup</t>
  </si>
  <si>
    <t>1. Dữ liệu được khôi phục2. Không mất mát</t>
  </si>
  <si>
    <t>TC_TC_001</t>
  </si>
  <si>
    <t>TC_TC_002</t>
  </si>
  <si>
    <t>TC_TC_003</t>
  </si>
  <si>
    <t>TC_TC_004</t>
  </si>
  <si>
    <t>TC_TC_005</t>
  </si>
  <si>
    <t>TC_TC_006</t>
  </si>
  <si>
    <t>TC_TC_007</t>
  </si>
  <si>
    <t>TC_TC_008</t>
  </si>
  <si>
    <t>TC_TC_009</t>
  </si>
  <si>
    <t>TC_TC_010</t>
  </si>
  <si>
    <t>TC_TC_011</t>
  </si>
  <si>
    <t>TC_TC_012</t>
  </si>
  <si>
    <t>TC_TC_013</t>
  </si>
  <si>
    <t>TC_TC_014</t>
  </si>
  <si>
    <t>TC_TC_015</t>
  </si>
  <si>
    <t>TC_TC_016</t>
  </si>
  <si>
    <t>TC_TC_017</t>
  </si>
  <si>
    <t>TC_TC_018</t>
  </si>
  <si>
    <t>TC_TC_019</t>
  </si>
  <si>
    <t>TC_TC_020</t>
  </si>
  <si>
    <t>TC_TC_021</t>
  </si>
  <si>
    <t>TC_TC_022</t>
  </si>
  <si>
    <t>TC_TC_023</t>
  </si>
  <si>
    <t>TC_TC_024</t>
  </si>
  <si>
    <t>TC_TC_025</t>
  </si>
  <si>
    <t>TC_TC_026</t>
  </si>
  <si>
    <t>TC_TC_027</t>
  </si>
  <si>
    <t>TC_TC_028</t>
  </si>
  <si>
    <t>TC_TC_029</t>
  </si>
  <si>
    <t>TC_TC_030</t>
  </si>
  <si>
    <t>TC_TC_031</t>
  </si>
  <si>
    <t>TC_TC_032</t>
  </si>
  <si>
    <t>TC_TC_033</t>
  </si>
  <si>
    <t>TC_TC_034</t>
  </si>
  <si>
    <t>TC_TC_035</t>
  </si>
  <si>
    <t>TC_TC_036</t>
  </si>
  <si>
    <t>TC_TC_037</t>
  </si>
  <si>
    <t>TC_TC_038</t>
  </si>
  <si>
    <t>TC_TC_039</t>
  </si>
  <si>
    <t>TC_TC_040</t>
  </si>
  <si>
    <t>TC_TC_041</t>
  </si>
  <si>
    <t>TC_TC_042</t>
  </si>
  <si>
    <t>TC_TC_043</t>
  </si>
  <si>
    <t>TC_TC_044</t>
  </si>
  <si>
    <t>TC_TC_045</t>
  </si>
  <si>
    <t>TC_TC_046</t>
  </si>
  <si>
    <t>TC_TC_047</t>
  </si>
  <si>
    <t>TC_TC_048</t>
  </si>
  <si>
    <t>TC_TC_049</t>
  </si>
  <si>
    <t>TC_TC_050</t>
  </si>
  <si>
    <t>TC_TC_051</t>
  </si>
  <si>
    <t>TC_TC_052</t>
  </si>
  <si>
    <t>TC_TC_053</t>
  </si>
  <si>
    <t>TC_TC_054</t>
  </si>
  <si>
    <t>TC_TC_055</t>
  </si>
  <si>
    <t>TC_TC_056</t>
  </si>
  <si>
    <t>TC_TC_057</t>
  </si>
  <si>
    <t>TC_TC_058</t>
  </si>
  <si>
    <t>TC_TC_059</t>
  </si>
  <si>
    <t>TC_TC_060</t>
  </si>
  <si>
    <t>TC_TC_061</t>
  </si>
  <si>
    <t>TC_TC_062</t>
  </si>
  <si>
    <t>TC_TC_063</t>
  </si>
  <si>
    <t>TC_TC_064</t>
  </si>
  <si>
    <t>TC_TC_065</t>
  </si>
  <si>
    <t>TC_TC_066</t>
  </si>
  <si>
    <t>TC_TC_067</t>
  </si>
  <si>
    <t>TC_TC_068</t>
  </si>
  <si>
    <t>TC_TC_069</t>
  </si>
  <si>
    <t>TC_TC_070</t>
  </si>
  <si>
    <t>TC_TC_071</t>
  </si>
  <si>
    <t>TC_TC_072</t>
  </si>
  <si>
    <t>TC_TC_073</t>
  </si>
  <si>
    <t>TC_TC_074</t>
  </si>
  <si>
    <t>TC_TC_075</t>
  </si>
  <si>
    <t>TC_TC_076</t>
  </si>
  <si>
    <t>TC_TC_077</t>
  </si>
  <si>
    <t>TC_TC_078</t>
  </si>
  <si>
    <t>TC_TC_079</t>
  </si>
  <si>
    <t>TC_TC_080</t>
  </si>
  <si>
    <t>TC_TC_081</t>
  </si>
  <si>
    <t>TC_TC_082</t>
  </si>
  <si>
    <t>TC_TC_083</t>
  </si>
  <si>
    <t>TC_TC_084</t>
  </si>
  <si>
    <t>TC_TC_085</t>
  </si>
  <si>
    <t>TC_TC_086</t>
  </si>
  <si>
    <t>TC_TC_087</t>
  </si>
  <si>
    <t>TC_TC_088</t>
  </si>
  <si>
    <t>TC_TC_089</t>
  </si>
  <si>
    <t>TC_TC_090</t>
  </si>
  <si>
    <t>TC_TC_091</t>
  </si>
  <si>
    <t>TC_TC_092</t>
  </si>
  <si>
    <t>TC_TC_093</t>
  </si>
  <si>
    <t>TC_TC_094</t>
  </si>
  <si>
    <t>TC_TC_095</t>
  </si>
  <si>
    <t>TC_TC_096</t>
  </si>
  <si>
    <t>TC_TC_097</t>
  </si>
  <si>
    <t>TC_TC_098</t>
  </si>
  <si>
    <t>TC_TC_099</t>
  </si>
  <si>
    <t>TC_TC_100</t>
  </si>
  <si>
    <t>Test Case Management</t>
  </si>
  <si>
    <t>Tạo mới Test Case hợp lệ</t>
  </si>
  <si>
    <t>Có TP101 gắn SRS101</t>
  </si>
  <si>
    <t>TC001</t>
  </si>
  <si>
    <t>Tạo Test Case không nhập Title</t>
  </si>
  <si>
    <t>Có TP101</t>
  </si>
  <si>
    <t>Title rỗng</t>
  </si>
  <si>
    <t>Tạo Test Case không nhập Steps</t>
  </si>
  <si>
    <t>Steps rỗng</t>
  </si>
  <si>
    <t>Tạo Test Case không chọn Test Plan</t>
  </si>
  <si>
    <t>Có Test Plan</t>
  </si>
  <si>
    <t>TP trống</t>
  </si>
  <si>
    <t>Tạo Test Case với Priority hợp lệ</t>
  </si>
  <si>
    <t>Priority=High</t>
  </si>
  <si>
    <t>Tạo Test Case với Status hợp lệ</t>
  </si>
  <si>
    <t>Draft</t>
  </si>
  <si>
    <t>Tạo Test Case nhấn Cancel</t>
  </si>
  <si>
    <t>Tạo Test Case với dữ liệu Steps dài (500 ký tự)</t>
  </si>
  <si>
    <t>Tạo Test Case với ký tự đặc biệt trong Title</t>
  </si>
  <si>
    <t>TC@2025!</t>
  </si>
  <si>
    <t>Tạo Test Case với nhiều Expected Results</t>
  </si>
  <si>
    <t>3 expected results</t>
  </si>
  <si>
    <t>Tìm kiếm Test Case theo Title</t>
  </si>
  <si>
    <t>Có TC_A1</t>
  </si>
  <si>
    <t>TC_A1</t>
  </si>
  <si>
    <t>Tìm kiếm Test Case theo Priority</t>
  </si>
  <si>
    <t>Có nhiều TC Priority=High</t>
  </si>
  <si>
    <t>Tìm kiếm Test Case theo Status</t>
  </si>
  <si>
    <t>Có TC Status=Approved</t>
  </si>
  <si>
    <t>Approved</t>
  </si>
  <si>
    <t>Có nhiều TC thuộc TP101</t>
  </si>
  <si>
    <t>TP101</t>
  </si>
  <si>
    <t>Tìm kiếm Test Case không tồn tại</t>
  </si>
  <si>
    <t>Tìm kiếm Test Case với ký tự đặc biệt</t>
  </si>
  <si>
    <t>Có TC Title=Case@2025</t>
  </si>
  <si>
    <t>Case@2025</t>
  </si>
  <si>
    <t>Tìm kiếm Test Case không phân biệt hoa thường</t>
  </si>
  <si>
    <t>Có TC Title="Login Test"</t>
  </si>
  <si>
    <t>1. Search title=login test</t>
  </si>
  <si>
    <t>login test</t>
  </si>
  <si>
    <t>Tìm kiếm Test Case với SQL Injection</t>
  </si>
  <si>
    <t>Tìm kiếm Test Case với chuỗi dài (1000 ký tự)</t>
  </si>
  <si>
    <t>Tìm kiếm Test Case trả về nhiều kết quả</t>
  </si>
  <si>
    <t>Có nhiều TC Priority=Medium</t>
  </si>
  <si>
    <t>Priority=Medium</t>
  </si>
  <si>
    <t>1. Vào Test Case Management
2. Nhấn Add
3. Chọn Test Plan TP101
4. Nhập Title, Steps, Expected Result, Priority, Status
5. Save</t>
  </si>
  <si>
    <t>1. Form hiển thị
5. Test Case được lưu thành công</t>
  </si>
  <si>
    <t>1. Vào Create TC
2. Chọn TP101
3. Để trống Title
4. Save</t>
  </si>
  <si>
    <t>1. Vào Create TC
2. Không chọn Test Plan
3. Save</t>
  </si>
  <si>
    <t>1. Vào Create TC
2. Chọn Priority=High
3. Save</t>
  </si>
  <si>
    <t>1. Vào Create TC
2. Chọn Status=Draft
3. Save</t>
  </si>
  <si>
    <t>1. Vào Create TC
2. Nhập dữ liệu
3. Nhấn Cancel</t>
  </si>
  <si>
    <t>1. Vào Create TC
2. Nhập Steps=500 ký tự
3. Save</t>
  </si>
  <si>
    <t>1. Vào Create TC
2. Nhập Title="TC@2025!"
3. Save</t>
  </si>
  <si>
    <t>1. Vào Create TC
2. Nhập Steps 3 bước
3. Nhập Expected Result cho từng bước
4. Save</t>
  </si>
  <si>
    <t>1. Vào Test Case List
2. Search Title=TC_A1
3. Nhấn Search</t>
  </si>
  <si>
    <t>1. Vào Search
2. Nhập Priority=High
3. Nhấn Search</t>
  </si>
  <si>
    <t>1. Vào Search
2. Nhập Status=Approved
3. Nhấn Search</t>
  </si>
  <si>
    <t>1. Vào Search
2. Nhập Test Plan=TP101
3. Search</t>
  </si>
  <si>
    <t>1. Vào Search
2. Nhập Title=XYZ999
3. Search</t>
  </si>
  <si>
    <t>1. Vào Search
2. Nhập Case@2025
3. Search</t>
  </si>
  <si>
    <t>1. Vào Search
2. Nhập 1000 ký tự
3. Search</t>
  </si>
  <si>
    <t>1. Vào Search
2. Nhập Priority=Medium
3. Search</t>
  </si>
  <si>
    <t>1. Form hiển thị
2. Hệ thống trả về nhiều record
3. Phân trang hiển thị đúng</t>
  </si>
  <si>
    <t>1. Form hiển thị
2. Hệ thống từ chối
3. Không lộ dữ liệu</t>
  </si>
  <si>
    <t>1. Form hiển thị
2. Trả về đúng TC "Login Test"</t>
  </si>
  <si>
    <t>1. Form hiển thị
2. Trả về đúng TC</t>
  </si>
  <si>
    <t>1. Form hiển thị
2. Hệ thống lưu thành công
3. Không lỗi ký tự</t>
  </si>
  <si>
    <t>1. Form hiển thị
2. Hệ thống xử lý
3. Nếu vượt limit báo lỗi</t>
  </si>
  <si>
    <t>1. Form hiển thị
2. Người dùng nhấn Cancel
3. Hệ thống không lưu</t>
  </si>
  <si>
    <t>Cập nhật Title Test Case thành công</t>
  </si>
  <si>
    <t>Có TC201</t>
  </si>
  <si>
    <t>Cập nhật Steps Test Case thành công</t>
  </si>
  <si>
    <t>Có TC202</t>
  </si>
  <si>
    <t>Steps mới</t>
  </si>
  <si>
    <t>Cập nhật Expected Results Test Case</t>
  </si>
  <si>
    <t>Có TC203</t>
  </si>
  <si>
    <t>Expected Result mới</t>
  </si>
  <si>
    <t>Cập nhật Priority thành công</t>
  </si>
  <si>
    <t>Có TC204</t>
  </si>
  <si>
    <t>Priority=Low</t>
  </si>
  <si>
    <t>Có TC205</t>
  </si>
  <si>
    <t>Cập nhật Test Case không nhập Title</t>
  </si>
  <si>
    <t>Có TC206</t>
  </si>
  <si>
    <t>Cập nhật Test Case với Steps rỗng</t>
  </si>
  <si>
    <t>Có TC207</t>
  </si>
  <si>
    <t>Steps trống</t>
  </si>
  <si>
    <t>Cập nhật Test Case với Expected Result rỗng</t>
  </si>
  <si>
    <t>Có TC208</t>
  </si>
  <si>
    <t>Expected Result trống</t>
  </si>
  <si>
    <t>Có TC209</t>
  </si>
  <si>
    <t>Dữ liệu mới</t>
  </si>
  <si>
    <t>Cập nhật Test Case nhưng nhấn Cancel</t>
  </si>
  <si>
    <t>Có TC210</t>
  </si>
  <si>
    <t>Xóa Test Case thành công</t>
  </si>
  <si>
    <t>Có TC211</t>
  </si>
  <si>
    <t>TC211</t>
  </si>
  <si>
    <t>Xóa Test Case nhưng chọn Cancel</t>
  </si>
  <si>
    <t>Có TC212</t>
  </si>
  <si>
    <t>TC212</t>
  </si>
  <si>
    <t>Xóa Test Case không tồn tại</t>
  </si>
  <si>
    <t>Không có TC999</t>
  </si>
  <si>
    <t>TC999</t>
  </si>
  <si>
    <t>Xóa nhiều Test Case cùng lúc</t>
  </si>
  <si>
    <t>Có TC213, TC214</t>
  </si>
  <si>
    <t>TC213, TC214</t>
  </si>
  <si>
    <t>Xóa Test Case đã liên kết với Defect</t>
  </si>
  <si>
    <t>TC215 đã có Defect DF215</t>
  </si>
  <si>
    <t>TC215</t>
  </si>
  <si>
    <t>Xóa Test Case đã liên kết với Test Plan</t>
  </si>
  <si>
    <t>TC216 thuộc TP120</t>
  </si>
  <si>
    <t>TC216</t>
  </si>
  <si>
    <t>Xóa Test Case có Status=Approved</t>
  </si>
  <si>
    <t>TC217 đã Approved</t>
  </si>
  <si>
    <t>TC217</t>
  </si>
  <si>
    <t>Xóa Test Case kiểm tra Audit Log</t>
  </si>
  <si>
    <t>Có TC218</t>
  </si>
  <si>
    <t>TC218</t>
  </si>
  <si>
    <t>Xóa Test Case khi không có quyền</t>
  </si>
  <si>
    <t>TC219</t>
  </si>
  <si>
    <t>Kiểm tra xóa Test Case đồng thời nhiều user</t>
  </si>
  <si>
    <t>2 user login cùng lúc</t>
  </si>
  <si>
    <t>TC220</t>
  </si>
  <si>
    <t>1. Vào Test Case List
2. Chọn Update TC201
3. Sửa Title thành "Login Success"
4. Save</t>
  </si>
  <si>
    <t>1. Vào Update TC202
2. Thay đổi Steps thành "Nhập username và password"
3. Save</t>
  </si>
  <si>
    <t>1. Vào Update TC203
2. Thay đổi Expected Result thành "Đăng nhập thành công"
3. Save</t>
  </si>
  <si>
    <t>1. Form hiển thị
3. Lưu thành công</t>
  </si>
  <si>
    <t>1. Vào Update TC204
2. Chọn Priority=Low
3. Save</t>
  </si>
  <si>
    <t>1. Vào Update TC205
2. Chọn Status=Approved
3. Save</t>
  </si>
  <si>
    <t>1. Vào Update TC206
2. Xóa Title
3. Save</t>
  </si>
  <si>
    <t>1. Form hiển thị
3. Hệ thống báo lỗi "Title bắt buộc"</t>
  </si>
  <si>
    <t>1. Vào Update TC207
2. Xóa Steps
3. Save</t>
  </si>
  <si>
    <t>1. Form hiển thị
3. Báo lỗi "Steps bắt buộc"</t>
  </si>
  <si>
    <t>1. Vào Update TC208
2. Xóa Expected Result
3. Save</t>
  </si>
  <si>
    <t>1. Form hiển thị
3. Báo lỗi "Expected Result bắt buộc"</t>
  </si>
  <si>
    <t>1. Vào Update TC209
2. Đổi Title, Steps, Priority
3. Save</t>
  </si>
  <si>
    <t>1. Vào Update TC210
2. Sửa Title
3. Nhấn Cancel</t>
  </si>
  <si>
    <t>1. Vào List
2. Chọn Delete TC211
3. Nhấn Yes</t>
  </si>
  <si>
    <t>1. Danh sách hiển thị
2. Người dùng xác nhận
3. Hệ thống xóa thành công</t>
  </si>
  <si>
    <t>1. Vào List
2. Chọn Delete TC212
3. Nhấn Cancel</t>
  </si>
  <si>
    <t>1. Danh sách hiển thị
2. Người dùng hủy thao tác
3. Hệ thống không xóa</t>
  </si>
  <si>
    <t>1. Vào List
2. Thử Delete TC999</t>
  </si>
  <si>
    <t>1. Danh sách hiển thị
3. Hệ thống báo "Không tồn tại"</t>
  </si>
  <si>
    <t>1. Danh sách hiển thị
3. Hệ thống xóa tất cả</t>
  </si>
  <si>
    <t>1. Vào List
2. Chọn Delete TC215
3. Nhấn Yes</t>
  </si>
  <si>
    <t>1. Danh sách hiển thị
3. Hệ thống báo “Không thể xóa, Test Case đã gắn Defect”</t>
  </si>
  <si>
    <t>1. Vào Lis
t2. Chọn Delete TC216
3. Nhấn Yes</t>
  </si>
  <si>
    <t>1. Danh sách hiển thị
3. Hệ thống báo "Không thể xóa, đang gắn Test Plan"</t>
  </si>
  <si>
    <t>1. Vào List
2. Chọn Delete TC217
3. Nhấn Yes</t>
  </si>
  <si>
    <t>1. Danh sách hiển thị
3. Hệ thống báo "Không thể xóa Test Case đã phê duyệt"</t>
  </si>
  <si>
    <t>1. Vào List
2. Chọn Delete TC218
3. Nhấn Yes
4. Vào Audit Log</t>
  </si>
  <si>
    <t>1. Danh sách hiển thị
3. Audit Log lưu lại thao tác</t>
  </si>
  <si>
    <t>1. Login Tester
2. Vào Test Case Lis
t3. Thử Delete TC219</t>
  </si>
  <si>
    <t>1. Đăng nhập thành công
2. Nút Delete ẩn/disable
3. Báo "Không đủ quyền"</t>
  </si>
  <si>
    <t>1. User A xóa TC220
2. User B xóa TC220 đồng thời</t>
  </si>
  <si>
    <t>1. User A xóa thành công
2. User B nhận thông báo “Test Case đã bị xóa trước đó”
3. Không crash hệ thống</t>
  </si>
  <si>
    <t>Author tạo mới Test Case thành công</t>
  </si>
  <si>
    <t>Tester cố gắng tạo Test Case</t>
  </si>
  <si>
    <t>Dev cố gắng tạo Test Case</t>
  </si>
  <si>
    <t>Author cập nhật Test Case thành công</t>
  </si>
  <si>
    <t>Có TC_A2</t>
  </si>
  <si>
    <t>Tester cố gắng cập nhật Test Case</t>
  </si>
  <si>
    <t>Có TC_A3</t>
  </si>
  <si>
    <t>Dev cố gắng cập nhật Test Case</t>
  </si>
  <si>
    <t>Có TC_A4</t>
  </si>
  <si>
    <t>Author xóa Test Case thành công</t>
  </si>
  <si>
    <t>Có TC_A5</t>
  </si>
  <si>
    <t>TC_A5</t>
  </si>
  <si>
    <t>Tester cố gắng xóa Test Case</t>
  </si>
  <si>
    <t>Có TC_A6</t>
  </si>
  <si>
    <t>TC_A6</t>
  </si>
  <si>
    <t>Dev cố gắng xóa Test Case</t>
  </si>
  <si>
    <t>Có TC_A7</t>
  </si>
  <si>
    <t>TC_A7</t>
  </si>
  <si>
    <t>Author tìm kiếm Test Case</t>
  </si>
  <si>
    <t>Có TC_A8</t>
  </si>
  <si>
    <t>TC_A8</t>
  </si>
  <si>
    <t>Tester tìm kiếm Test Case</t>
  </si>
  <si>
    <t>Có TC_A9</t>
  </si>
  <si>
    <t>TC_A9</t>
  </si>
  <si>
    <t>Dev tìm kiếm Test Case</t>
  </si>
  <si>
    <t>Có TC_A10</t>
  </si>
  <si>
    <t>TC_A10</t>
  </si>
  <si>
    <t>Tester truy cập trực tiếp link Create Test Case</t>
  </si>
  <si>
    <t>Dev truy cập trực tiếp link Update Test Case</t>
  </si>
  <si>
    <t>TC_A11</t>
  </si>
  <si>
    <t>Author xem Audit Log Test Case</t>
  </si>
  <si>
    <t>Có TC_A12</t>
  </si>
  <si>
    <t>TC_A12</t>
  </si>
  <si>
    <t>Tester xem Audit Log Test Case</t>
  </si>
  <si>
    <t>Có TC_A13</t>
  </si>
  <si>
    <t>TC_A13</t>
  </si>
  <si>
    <t>Dev xem Audit Log Test Case</t>
  </si>
  <si>
    <t>Có TC_A14</t>
  </si>
  <si>
    <t>TC_A14</t>
  </si>
  <si>
    <t>TC_A15</t>
  </si>
  <si>
    <t>Author và Dev login song song</t>
  </si>
  <si>
    <t>TC_A16</t>
  </si>
  <si>
    <t>Login Author, Tester, Dev</t>
  </si>
  <si>
    <t>1. Login Author
2. Vào Test Case
3. Nhấn Add
4. Nhập dữ liệu hợp lệ
5. Save</t>
  </si>
  <si>
    <t>1. Đăng nhập thành công
2. Form hiển thị
3. Test Case tạo thành công</t>
  </si>
  <si>
    <t>1. Login Tester
2. Vào Test Case
3. Nhấn Add</t>
  </si>
  <si>
    <t>1. Đăng nhập thành công
2. Nút Add ẩn hoặc disable
3. Báo “Không đủ quyền”</t>
  </si>
  <si>
    <t>1. Login Dev
2. Vào Test Case
3. Nhấn Add</t>
  </si>
  <si>
    <t>1. Đăng nhập thành công
2. Không có quyền Add
3. Báo lỗi quyền</t>
  </si>
  <si>
    <t>1. Login Author
2. Vào Test Case
3. Chọn Update TC_A2
4. Nhập Title mới
5. Save</t>
  </si>
  <si>
    <t>1. Đăng nhập thành công
5. Hệ thống lưu thành công</t>
  </si>
  <si>
    <t>1. Login Tester
2. Vào Test Case
3. Thử Update TC_A3</t>
  </si>
  <si>
    <t>1. Đăng nhập thành công
2. Nút Update bị disable
3. Báo “Không đủ quyền”</t>
  </si>
  <si>
    <t>1. Login Dev
2. Vào Test Case
3. Thử Update TC_A4</t>
  </si>
  <si>
    <t>1. Đăng nhập thành công
2. Không có quyền Update
3. Báo “Access Denied”</t>
  </si>
  <si>
    <t>1. Login Author
2. Vào Test Case
3. Delete TC_A5
4. Xác nhận Yes</t>
  </si>
  <si>
    <t>1. Đăng nhập thành công
3. Hệ thống xóa thành công</t>
  </si>
  <si>
    <t>1. Login Tester
2. Vào Test Case
3. Thử Delete TC_A6</t>
  </si>
  <si>
    <t>1. Đăng nhập thành công
2. Nút Delete không hiển thị
3. Báo “Không đủ quyền”</t>
  </si>
  <si>
    <t>1. Login Dev
2. Vào Test Case
3. Thử Delete TC_A7</t>
  </si>
  <si>
    <t>1. Đăng nhập thành công
2. Không có quyền Delete
3. Báo lỗi quyền</t>
  </si>
  <si>
    <t>1. Login Author
2. Vào Search
3. Nhập Title=TC_A8</t>
  </si>
  <si>
    <t>1. Đăng nhập thành công
2. Search trả về đúng dữ liệu</t>
  </si>
  <si>
    <t>1. Login Tester
2. Vào Search
3. Nhập Title=TC_A9</t>
  </si>
  <si>
    <t>1. Đăng nhập thành công
2. Search hoạt động đúng</t>
  </si>
  <si>
    <t>1. Login Dev
2. Vào Search
3. Nhập Title=TC_A10</t>
  </si>
  <si>
    <t>1. Nhập URL /testcase/create
2. Enter</t>
  </si>
  <si>
    <t>1. Trang load
2. Hệ thống kiểm tra quyền
3. Báo “Access Denied”</t>
  </si>
  <si>
    <t>1. Nhập URL /testcase/update/TC_A11
2. Enter</t>
  </si>
  <si>
    <t>1. Login Author
2. Vào Test Case
3. Xem Audit Log</t>
  </si>
  <si>
    <t>1. Login Tester
2. Vào Test Case
3. Thử xem Audit Log</t>
  </si>
  <si>
    <t>1. Đăng nhập thành công
2. Audit Log hiển thị ở chế độ chỉ đọc
3. Không cho chỉnh sửa</t>
  </si>
  <si>
    <t>1. Login Dev
2. Vào Test Case
3. Thử xem Audit Log</t>
  </si>
  <si>
    <t>1. Đăng nhập thành công
2. Audit Log chỉ xem
3. Không được chỉnh sửa</t>
  </si>
  <si>
    <t>1. Author Update TC_A15
2. Tester Search TC_A15 cùng lúc</t>
  </si>
  <si>
    <t>1. Author update thành công
2. Tester search vẫn bình thường
3. Không xung đột dữ liệu</t>
  </si>
  <si>
    <t>1. Login Author
2. Login Tester
3. Login Dev
4. Quan sát nút Add/Update/Delete/Search</t>
  </si>
  <si>
    <t>1. Author thấy đủ CRUD
2. Tester chỉ thấy Search
3. Dev chỉ thấy Search
4. Không hiển thị sai</t>
  </si>
  <si>
    <t>1. Dev thử Delete TC_A16
2. Author Update TC_A16 cùng lúc</t>
  </si>
  <si>
    <t>Tạo Test Case liên kết với 1 SRS</t>
  </si>
  <si>
    <t>Có SRS301, TP201</t>
  </si>
  <si>
    <t>1. Login Author2. Vào Create Test Case3. Chọn SRS3014. Save</t>
  </si>
  <si>
    <t>TC_SRS1</t>
  </si>
  <si>
    <t>1. Form hiển thị2. Người dùng chọn SRS3. TC lưu thành công kèm SRS301</t>
  </si>
  <si>
    <t>Tạo Test Case không chọn SRS</t>
  </si>
  <si>
    <t>Có TP202</t>
  </si>
  <si>
    <t>1. Login Author2. Create Test Case3. Không chọn SRS4. Save</t>
  </si>
  <si>
    <t>TC_SRS2</t>
  </si>
  <si>
    <t>1. Form hiển thị2. Báo lỗi "Phải chọn SRS"</t>
  </si>
  <si>
    <t>Cập nhật Test Case đổi SRS liên kết</t>
  </si>
  <si>
    <t>Có TC_SRS3 gắn SRS301</t>
  </si>
  <si>
    <t>1. Update TC_SRS32. Đổi sang SRS3023. Save</t>
  </si>
  <si>
    <t>TC_SRS3</t>
  </si>
  <si>
    <t>1. Form hiển thị2. Người dùng đổi liên kết3. Hệ thống lưu thành công</t>
  </si>
  <si>
    <t>Xóa Test Case đang gắn SRS</t>
  </si>
  <si>
    <t>TC_SRS4 gắn SRS303</t>
  </si>
  <si>
    <t>1. Delete TC_SRS42. Xác nhận Yes</t>
  </si>
  <si>
    <t>TC_SRS4</t>
  </si>
  <si>
    <t>1. Danh sách hiển thị2. Hệ thống cho phép xóa3. SRS không bị ảnh hưởng</t>
  </si>
  <si>
    <t>Liên kết nhiều Test Case vào 1 SRS</t>
  </si>
  <si>
    <t>Có SRS304</t>
  </si>
  <si>
    <t>1. Tạo TC_SRS52. Chọn SRS3043. Tạo thêm TC_SRS6 cũng gắn SRS304</t>
  </si>
  <si>
    <t>2 TC</t>
  </si>
  <si>
    <t>1. Hệ thống lưu được nhiều TC liên kết cùng 1 SRS</t>
  </si>
  <si>
    <t>Kiểm tra đồng bộ SRS khi update Test Case</t>
  </si>
  <si>
    <t>Có SRS305</t>
  </si>
  <si>
    <t>1. Update TC_SRS72. Đổi Title3. Save4. Mở lại SRS305</t>
  </si>
  <si>
    <t>TC_SRS7</t>
  </si>
  <si>
    <t>1. Update thành công2. Liên kết SRS305 vẫn còn3. Không mất dữ liệu</t>
  </si>
  <si>
    <t>Tạo Test Case gắn với Test Plan</t>
  </si>
  <si>
    <t>Có TP203</t>
  </si>
  <si>
    <t>1. Vào Create TC2. Chọn TP2033. Save</t>
  </si>
  <si>
    <t>TC_TP1</t>
  </si>
  <si>
    <t>1. Hệ thống lưu TC thành công2. TC liên kết TP203</t>
  </si>
  <si>
    <t>Có nhiều TC thuộc TP204</t>
  </si>
  <si>
    <t>1. Vào Search2. Chọn TP2043. Search</t>
  </si>
  <si>
    <t>TP204</t>
  </si>
  <si>
    <t>1. Kết quả hiển thị danh sách TC của TP204</t>
  </si>
  <si>
    <t>Cập nhật Test Case đổi sang Test Plan khác</t>
  </si>
  <si>
    <t>Có TC_TP2 thuộc TP205</t>
  </si>
  <si>
    <t>1. Update TC_TP22. Chọn TP2063. Save</t>
  </si>
  <si>
    <t>TC_TP2</t>
  </si>
  <si>
    <t>1. Hệ thống lưu thành công2. TC đổi liên kết sang TP206</t>
  </si>
  <si>
    <t>Xóa Test Plan chứa Test Case</t>
  </si>
  <si>
    <t>Có TP207 chứa TC_TP3</t>
  </si>
  <si>
    <t>1. Delete TP207</t>
  </si>
  <si>
    <t>TP207</t>
  </si>
  <si>
    <t>1. Hệ thống báo “Không thể xóa, có Test Case liên kết”</t>
  </si>
  <si>
    <t>Liên kết nhiều Test Case vào 1 Test Plan</t>
  </si>
  <si>
    <t>Có TP208</t>
  </si>
  <si>
    <t>1. Create TC_TP42. Gắn TP2083. Create TC_TP54. Gắn TP208</t>
  </si>
  <si>
    <t>1. TP208 hiển thị cả TC_TP4 và TC_TP5</t>
  </si>
  <si>
    <t>Liên kết Test Case với Defect</t>
  </si>
  <si>
    <t>Có DF301</t>
  </si>
  <si>
    <t>1. Create Test Case2. Gắn với Defect DF3013. Save</t>
  </si>
  <si>
    <t>TC_DF1</t>
  </si>
  <si>
    <t>1. Hệ thống lưu TC thành công2. Liên kết Defect DF301 hiển thị</t>
  </si>
  <si>
    <t>Xem danh sách Defect từ Test Case</t>
  </si>
  <si>
    <t>TC_DF2 gắn DF302</t>
  </si>
  <si>
    <t>1. Vào TC_DF22. Nhấn tab “Defect”</t>
  </si>
  <si>
    <t>1. Hệ thống hiển thị DF302 đúng liên kết</t>
  </si>
  <si>
    <t>Cập nhật Test Case gỡ bỏ liên kết Defect</t>
  </si>
  <si>
    <t>TC_DF3 gắn DF303</t>
  </si>
  <si>
    <t>1. Update TC_DF32. Xóa liên kết DF3033. Save</t>
  </si>
  <si>
    <t>TC_DF3</t>
  </si>
  <si>
    <t>1. Hệ thống lưu thành công2. Liên kết defect bị gỡ bỏ</t>
  </si>
  <si>
    <t>Liên kết Test Case với nhiều Defect</t>
  </si>
  <si>
    <t>Có DF304, DF305</t>
  </si>
  <si>
    <t>1. Update TC_DF42. Gắn DF304 và DF3053. Save</t>
  </si>
  <si>
    <t>TC_DF4</t>
  </si>
  <si>
    <t>1. Hệ thống lưu thành công2. TC gắn 2 defect</t>
  </si>
  <si>
    <t>Xóa Defect vẫn giữ Test Case</t>
  </si>
  <si>
    <t>TC_DF5 gắn DF306</t>
  </si>
  <si>
    <t>1. Delete Defect DF3062. Vào TC_DF5</t>
  </si>
  <si>
    <t>DF306</t>
  </si>
  <si>
    <t>1. TC_DF5 vẫn tồn tại2. Liên kết DF306 bị mất</t>
  </si>
  <si>
    <t>Kiểm tra đồng bộ Defect khi update Test Case</t>
  </si>
  <si>
    <t>TC_DF6 gắn DF307</t>
  </si>
  <si>
    <t>1. Update TC_DF62. Đổi Status3. Save4. Kiểm tra Defect DF307</t>
  </si>
  <si>
    <t>TC_DF6</t>
  </si>
  <si>
    <t>1. TC update thành công2. Liên kết defect không mất</t>
  </si>
  <si>
    <t>Kiểm tra báo cáo Test Case có Defect</t>
  </si>
  <si>
    <t>Reporting</t>
  </si>
  <si>
    <t>Có nhiều TC gắn Defect</t>
  </si>
  <si>
    <t>1. Vào báo cáo Test Case2. Lọc theo Defect</t>
  </si>
  <si>
    <t>1. Báo cáo hiển thị đúng số TC gắn defect</t>
  </si>
  <si>
    <t>Liên kết Test Case với nhiều SRS và Test Plan</t>
  </si>
  <si>
    <t>Link All</t>
  </si>
  <si>
    <t>Có SRS310, TP209</t>
  </si>
  <si>
    <t>1. Create Test Case2. Gắn SRS3103. Gắn TP2094. Save</t>
  </si>
  <si>
    <t>TC_All</t>
  </si>
  <si>
    <t>1. TC được lưu thành công2. Liên kết đúng cả SRS310 và TP209</t>
  </si>
  <si>
    <t>Kiểm tra đồng bộ toàn bộ liên kết</t>
  </si>
  <si>
    <t>Có SRS311, TP210, DF308</t>
  </si>
  <si>
    <t>1. Update TC_All22. Đổi Title3. Save4. Kiểm tra lại SRS311, TP210, DF308</t>
  </si>
  <si>
    <t>TC_All2</t>
  </si>
  <si>
    <t>1. TC update thành công2. Liên kết SRS, TP, Defect vẫn còn</t>
  </si>
  <si>
    <t>Kiểm tra giao diện danh sách Test Case</t>
  </si>
  <si>
    <t>Có nhiều Test Case</t>
  </si>
  <si>
    <t>1. Login2. Vào Test Case List3. Quan sát giao diện</t>
  </si>
  <si>
    <t>1. Danh sách hiển thị theo bảng2. Có cột ID, Title, Status, Priority, TP3. Nút Add/Update/Delete hiển thị đúng</t>
  </si>
  <si>
    <t>Kiểm tra hiển thị trên mobile</t>
  </si>
  <si>
    <t>Responsive</t>
  </si>
  <si>
    <t>1. Login bằng mobile2. Vào Test Case List</t>
  </si>
  <si>
    <t>1. Giao diện hiển thị vừa màn hình2. Có scroll nếu cần3. Nút bấm rõ ràng</t>
  </si>
  <si>
    <t>Kiểm tra tốc độ load danh sách 1000 Test Case</t>
  </si>
  <si>
    <t>DB có 1000 TC</t>
  </si>
  <si>
    <t>1. Login2. Vào Test Case List</t>
  </si>
  <si>
    <t>Kiểm tra phân trang danh sách Test Case</t>
  </si>
  <si>
    <t>Có 50 TC</t>
  </si>
  <si>
    <t>1. Mỗi trang hiển thị đúng số TC2. Nút Next/Prev hoạt động</t>
  </si>
  <si>
    <t>Chuyển trang liên tục danh sách Test Case</t>
  </si>
  <si>
    <t>Có 200 TC</t>
  </si>
  <si>
    <t>1. Phản hồi mượt2. Không crash3. Không mất dữ liệu</t>
  </si>
  <si>
    <t>Xuất Test Case ra Excel</t>
  </si>
  <si>
    <t>Có nhiều TC</t>
  </si>
  <si>
    <t>1. Vào Test Case2. Nhấn Export All</t>
  </si>
  <si>
    <t>Xuất Test Case theo bộ lọc Priority</t>
  </si>
  <si>
    <t>1. Vào Search2. Lọc Priority=High3. Export</t>
  </si>
  <si>
    <t>1. File Excel chỉ chứa TC Priority=High</t>
  </si>
  <si>
    <t>Xuất dữ liệu lớn (5000 Test Case)</t>
  </si>
  <si>
    <t>DB có 5000 TC</t>
  </si>
  <si>
    <t>1. Vào Export All2. Xuất file</t>
  </si>
  <si>
    <t>1. File xuất thành công2. Thời gian &lt; 10s3. Không thiếu dữ liệu</t>
  </si>
  <si>
    <t>Upload file đính kèm nhỏ (2MB)</t>
  </si>
  <si>
    <t>File nhỏ</t>
  </si>
  <si>
    <t>1. Vào Create TC2. Upload file 2MB3. Save</t>
  </si>
  <si>
    <t>1. Upload thành công2. Lưu TC thành công</t>
  </si>
  <si>
    <t>Upload file vượt dung lượng cho phép</t>
  </si>
  <si>
    <t>1. Vào Create TC2. Upload file 60MB3. Save</t>
  </si>
  <si>
    <t>1. Báo lỗi “Dung lượng vượt quá cho phép”</t>
  </si>
  <si>
    <t>Kiểm tra SQL Injection ở Search</t>
  </si>
  <si>
    <t>1. Hệ thống từ chối2. Không lộ dữ liệu</t>
  </si>
  <si>
    <t>Nhập dữ liệu quá dài ở Steps (1000 ký tự)</t>
  </si>
  <si>
    <t>1. Nhập Steps=1000 ký tự2. Save</t>
  </si>
  <si>
    <t>Nhập Unicode đặc biệt ở Expected Result</t>
  </si>
  <si>
    <t>1. Nhập Expected Result “OK ✅🔥”2. Save</t>
  </si>
  <si>
    <t>Unicode text</t>
  </si>
  <si>
    <t>1. Login2. Không thao tác 30 phút3. Nhấn Update TC</t>
  </si>
  <si>
    <t>Truy cập API lấy Test Case khi chưa login</t>
  </si>
  <si>
    <t>1. Gửi GET /api/testcase</t>
  </si>
  <si>
    <t>Truy cập API tạo Test Case với token hết hạn</t>
  </si>
  <si>
    <t>1. Gửi POST /api/testcase với token hết hạn</t>
  </si>
  <si>
    <t>Kiểm tra đồng thời 50 user tạo Test Case</t>
  </si>
  <si>
    <t>1. 50 user gửi POST tạo TC cùng lúc</t>
  </si>
  <si>
    <t>Kiểm tra backup dữ liệu Test Case</t>
  </si>
  <si>
    <t>Kiểm tra restore dữ liệu Test Case từ backup</t>
  </si>
  <si>
    <t>1. Xóa vài Test Case2. Restore từ file backup3. Kiểm tra lại danh sách</t>
  </si>
  <si>
    <t>TC_DF_001</t>
  </si>
  <si>
    <t>TC_DF_002</t>
  </si>
  <si>
    <t>TC_DF_003</t>
  </si>
  <si>
    <t>TC_DF_004</t>
  </si>
  <si>
    <t>TC_DF_005</t>
  </si>
  <si>
    <t>TC_DF_006</t>
  </si>
  <si>
    <t>TC_DF_007</t>
  </si>
  <si>
    <t>TC_DF_008</t>
  </si>
  <si>
    <t>TC_DF_009</t>
  </si>
  <si>
    <t>TC_DF_010</t>
  </si>
  <si>
    <t>TC_DF_011</t>
  </si>
  <si>
    <t>TC_DF_012</t>
  </si>
  <si>
    <t>TC_DF_013</t>
  </si>
  <si>
    <t>TC_DF_014</t>
  </si>
  <si>
    <t>TC_DF_015</t>
  </si>
  <si>
    <t>TC_DF_016</t>
  </si>
  <si>
    <t>TC_DF_017</t>
  </si>
  <si>
    <t>TC_DF_018</t>
  </si>
  <si>
    <t>TC_DF_019</t>
  </si>
  <si>
    <t>TC_DF_020</t>
  </si>
  <si>
    <t>TC_DF_021</t>
  </si>
  <si>
    <t>TC_DF_022</t>
  </si>
  <si>
    <t>TC_DF_023</t>
  </si>
  <si>
    <t>TC_DF_024</t>
  </si>
  <si>
    <t>TC_DF_025</t>
  </si>
  <si>
    <t>TC_DF_026</t>
  </si>
  <si>
    <t>TC_DF_027</t>
  </si>
  <si>
    <t>TC_DF_028</t>
  </si>
  <si>
    <t>TC_DF_029</t>
  </si>
  <si>
    <t>TC_DF_030</t>
  </si>
  <si>
    <t>TC_DF_031</t>
  </si>
  <si>
    <t>TC_DF_032</t>
  </si>
  <si>
    <t>TC_DF_033</t>
  </si>
  <si>
    <t>TC_DF_034</t>
  </si>
  <si>
    <t>TC_DF_035</t>
  </si>
  <si>
    <t>TC_DF_036</t>
  </si>
  <si>
    <t>TC_DF_037</t>
  </si>
  <si>
    <t>TC_DF_038</t>
  </si>
  <si>
    <t>TC_DF_039</t>
  </si>
  <si>
    <t>TC_DF_040</t>
  </si>
  <si>
    <t>TC_DF_041</t>
  </si>
  <si>
    <t>TC_DF_042</t>
  </si>
  <si>
    <t>TC_DF_043</t>
  </si>
  <si>
    <t>TC_DF_044</t>
  </si>
  <si>
    <t>TC_DF_045</t>
  </si>
  <si>
    <t>TC_DF_046</t>
  </si>
  <si>
    <t>TC_DF_047</t>
  </si>
  <si>
    <t>TC_DF_048</t>
  </si>
  <si>
    <t>TC_DF_049</t>
  </si>
  <si>
    <t>TC_DF_050</t>
  </si>
  <si>
    <t>TC_DF_051</t>
  </si>
  <si>
    <t>TC_DF_052</t>
  </si>
  <si>
    <t>TC_DF_053</t>
  </si>
  <si>
    <t>TC_DF_054</t>
  </si>
  <si>
    <t>TC_DF_055</t>
  </si>
  <si>
    <t>TC_DF_056</t>
  </si>
  <si>
    <t>TC_DF_057</t>
  </si>
  <si>
    <t>TC_DF_058</t>
  </si>
  <si>
    <t>TC_DF_059</t>
  </si>
  <si>
    <t>TC_DF_060</t>
  </si>
  <si>
    <t>TC_DF_061</t>
  </si>
  <si>
    <t>TC_DF_062</t>
  </si>
  <si>
    <t>TC_DF_063</t>
  </si>
  <si>
    <t>TC_DF_064</t>
  </si>
  <si>
    <t>TC_DF_065</t>
  </si>
  <si>
    <t>TC_DF_066</t>
  </si>
  <si>
    <t>TC_DF_067</t>
  </si>
  <si>
    <t>TC_DF_068</t>
  </si>
  <si>
    <t>TC_DF_069</t>
  </si>
  <si>
    <t>TC_DF_070</t>
  </si>
  <si>
    <t>TC_DF_071</t>
  </si>
  <si>
    <t>TC_DF_072</t>
  </si>
  <si>
    <t>TC_DF_073</t>
  </si>
  <si>
    <t>TC_DF_074</t>
  </si>
  <si>
    <t>TC_DF_075</t>
  </si>
  <si>
    <t>TC_DF_076</t>
  </si>
  <si>
    <t>TC_DF_077</t>
  </si>
  <si>
    <t>TC_DF_078</t>
  </si>
  <si>
    <t>TC_DF_079</t>
  </si>
  <si>
    <t>TC_DF_080</t>
  </si>
  <si>
    <t>TC_DF_081</t>
  </si>
  <si>
    <t>TC_DF_082</t>
  </si>
  <si>
    <t>TC_DF_083</t>
  </si>
  <si>
    <t>TC_DF_084</t>
  </si>
  <si>
    <t>TC_DF_085</t>
  </si>
  <si>
    <t>TC_DF_086</t>
  </si>
  <si>
    <t>TC_DF_087</t>
  </si>
  <si>
    <t>TC_DF_088</t>
  </si>
  <si>
    <t>TC_DF_089</t>
  </si>
  <si>
    <t>TC_DF_090</t>
  </si>
  <si>
    <t>TC_DF_091</t>
  </si>
  <si>
    <t>TC_DF_092</t>
  </si>
  <si>
    <t>TC_DF_093</t>
  </si>
  <si>
    <t>TC_DF_094</t>
  </si>
  <si>
    <t>TC_DF_095</t>
  </si>
  <si>
    <t>TC_DF_096</t>
  </si>
  <si>
    <t>TC_DF_097</t>
  </si>
  <si>
    <t>TC_DF_098</t>
  </si>
  <si>
    <t>TC_DF_099</t>
  </si>
  <si>
    <t>TC_DF_100</t>
  </si>
  <si>
    <t>Tạo Defect hợp lệ</t>
  </si>
  <si>
    <t>DF001</t>
  </si>
  <si>
    <t>Tạo Defect không nhập Title</t>
  </si>
  <si>
    <t>Tạo Defect không chọn Severity</t>
  </si>
  <si>
    <t>Severity trống</t>
  </si>
  <si>
    <t>Tạo Defect không chọn Priority</t>
  </si>
  <si>
    <t>Priority trống</t>
  </si>
  <si>
    <t>Tạo Defect có đính kèm ảnh minh chứng</t>
  </si>
  <si>
    <t>Có file screenshot.png</t>
  </si>
  <si>
    <t>Ảnh đính kèm</t>
  </si>
  <si>
    <t>Tạo Defect với mô tả dài (1000 ký tự)</t>
  </si>
  <si>
    <t>Mô tả dài</t>
  </si>
  <si>
    <t>Tạo Defect có ký tự đặc biệt trong Title</t>
  </si>
  <si>
    <t>Bug@2025#1</t>
  </si>
  <si>
    <t>Tạo Defect với trạng thái mặc định</t>
  </si>
  <si>
    <t>Tạo Defect không chọn người phụ trách</t>
  </si>
  <si>
    <t>Có DF001</t>
  </si>
  <si>
    <t>Tìm kiếm Defect theo Severity</t>
  </si>
  <si>
    <t>Có nhiều DF Severity=Critical</t>
  </si>
  <si>
    <t>Severity=Critical</t>
  </si>
  <si>
    <t>Tìm kiếm Defect theo Priority</t>
  </si>
  <si>
    <t>Có nhiều DF Priority=High</t>
  </si>
  <si>
    <t>Tìm kiếm Defect theo Status</t>
  </si>
  <si>
    <t>Có DF Status=New</t>
  </si>
  <si>
    <t>Status=New</t>
  </si>
  <si>
    <t>Tìm kiếm Defect theo Assignee</t>
  </si>
  <si>
    <t>Có DF assigned cho DevA</t>
  </si>
  <si>
    <t>DevA</t>
  </si>
  <si>
    <t>Tìm kiếm Defect theo ngày tạo</t>
  </si>
  <si>
    <t>Có DF được tạo trong tuần</t>
  </si>
  <si>
    <t>Date range</t>
  </si>
  <si>
    <t>Tìm kiếm Defect theo nhiều tiêu chí kết hợp</t>
  </si>
  <si>
    <t>Có nhiều DF</t>
  </si>
  <si>
    <t>Tìm kiếm Defect không tồn tại</t>
  </si>
  <si>
    <t>Z999</t>
  </si>
  <si>
    <t>1. Hiển thị “Không có kết quả”</t>
  </si>
  <si>
    <t>Tìm kiếm Defect chứa ký tự đặc biệt</t>
  </si>
  <si>
    <t>Có DF@2025</t>
  </si>
  <si>
    <t>DF@2025</t>
  </si>
  <si>
    <t>1. Hiển thị đúng Defect</t>
  </si>
  <si>
    <t>Kiểm tra phân trang kết quả tìm kiếm</t>
  </si>
  <si>
    <t>Có 200 Defect</t>
  </si>
  <si>
    <t>1. Vào Defect Management
2. Nhấn Add
3. Nhập Title, Description, Severity, Priority, Assignee
4. Save</t>
  </si>
  <si>
    <r>
      <t xml:space="preserve">1. Vào Search
2. Nhập </t>
    </r>
    <r>
      <rPr>
        <sz val="10"/>
        <color theme="1"/>
        <rFont val="Times New Roman"/>
        <family val="1"/>
      </rPr>
      <t xml:space="preserve">' OR 1=1 --
</t>
    </r>
    <r>
      <rPr>
        <sz val="11"/>
        <color theme="1"/>
        <rFont val="Times New Roman"/>
        <family val="1"/>
      </rPr>
      <t>3. Nhấn Search</t>
    </r>
  </si>
  <si>
    <r>
      <t>1. Nhập Title=</t>
    </r>
    <r>
      <rPr>
        <sz val="10"/>
        <color theme="1"/>
        <rFont val="Times New Roman"/>
        <family val="1"/>
      </rPr>
      <t>&lt;script&gt;alert(1)&lt;/script&gt;</t>
    </r>
    <r>
      <rPr>
        <sz val="11"/>
        <color theme="1"/>
        <rFont val="Times New Roman"/>
        <family val="1"/>
      </rPr>
      <t>2. Nhấn Save</t>
    </r>
  </si>
  <si>
    <r>
      <t>1. Nhập ID=</t>
    </r>
    <r>
      <rPr>
        <sz val="10"/>
        <color theme="1"/>
        <rFont val="Times New Roman"/>
        <family val="1"/>
      </rPr>
      <t>' OR 1=1--</t>
    </r>
    <r>
      <rPr>
        <sz val="11"/>
        <color theme="1"/>
        <rFont val="Times New Roman"/>
        <family val="1"/>
      </rPr>
      <t>2. Save</t>
    </r>
  </si>
  <si>
    <r>
      <t xml:space="preserve">1. Vào Search
2. Nhập </t>
    </r>
    <r>
      <rPr>
        <sz val="10"/>
        <color theme="1"/>
        <rFont val="Times New Roman"/>
        <family val="1"/>
      </rPr>
      <t xml:space="preserve">' OR 1=1--
</t>
    </r>
    <r>
      <rPr>
        <sz val="11"/>
        <color theme="1"/>
        <rFont val="Times New Roman"/>
        <family val="1"/>
      </rPr>
      <t>3. Search</t>
    </r>
  </si>
  <si>
    <r>
      <t>1. Nhập Title=</t>
    </r>
    <r>
      <rPr>
        <sz val="10"/>
        <color theme="1"/>
        <rFont val="Times New Roman"/>
        <family val="1"/>
      </rPr>
      <t>&lt;script&gt;alert(1)&lt;/script&gt;</t>
    </r>
    <r>
      <rPr>
        <sz val="11"/>
        <color theme="1"/>
        <rFont val="Times New Roman"/>
        <family val="1"/>
      </rPr>
      <t>2. Save</t>
    </r>
  </si>
  <si>
    <r>
      <t>1. Search Title=</t>
    </r>
    <r>
      <rPr>
        <sz val="10"/>
        <color theme="1"/>
        <rFont val="Times New Roman"/>
        <family val="1"/>
      </rPr>
      <t>' OR 1=1--</t>
    </r>
  </si>
  <si>
    <t>1. Add Defect
2. Để trống Title
3. Save</t>
  </si>
  <si>
    <t>1. Add Defect
2. Không chọn Severity
3. Save</t>
  </si>
  <si>
    <t>1. Add Defect
2. Không chọn Priority
3. Save</t>
  </si>
  <si>
    <t>1. Add Defect
2. Upload screenshot.png
3. Save</t>
  </si>
  <si>
    <t>1. Add Defect
2. Nhập mô tả 1000 ký tự
3. Save</t>
  </si>
  <si>
    <t>1. Add Defect
2. Title = “Bug@2025#1”
3. Save</t>
  </si>
  <si>
    <t>1. Add Defect
2. Save mà không chọn Status</t>
  </si>
  <si>
    <t>2. Status mặc định = “New”</t>
  </si>
  <si>
    <t>1. Add Defect
2. Không chọn Assignee
3. Save</t>
  </si>
  <si>
    <t>2. Hiển thị đúng defect DF001</t>
  </si>
  <si>
    <t>1. Search Severity=Critical
2. Nhấn Search</t>
  </si>
  <si>
    <t>2. Hiển thị danh sách DF có Severity=Critical</t>
  </si>
  <si>
    <t>1. Search Priority=High
2. Nhấn Search</t>
  </si>
  <si>
    <t>2. Hiển thị danh sách DF Priority=High</t>
  </si>
  <si>
    <t>1. Search Status=New
2. Nhấn Search</t>
  </si>
  <si>
    <t>2. Hiển thị defect đúng trạng thái</t>
  </si>
  <si>
    <t>1. Search Assignee=DevA
2. Nhấn Search</t>
  </si>
  <si>
    <t>2. Hiển thị các defect của DevA</t>
  </si>
  <si>
    <t>1. Chọn Date Range tuần này
2. Search</t>
  </si>
  <si>
    <t>2. Hiển thị đúng danh sách defect trong thời gian đó</t>
  </si>
  <si>
    <t>1. Search Status=New và Priority=High
2. Search</t>
  </si>
  <si>
    <t>2. Trả về kết quả đúng cả điều kiện</t>
  </si>
  <si>
    <t>1. Search Title=Z999
2. Nhấn Search</t>
  </si>
  <si>
    <t>1. Search DF@2025
2. Nhấn Search</t>
  </si>
  <si>
    <t>1. Search all
2. Quan sát phân trang</t>
  </si>
  <si>
    <t>1. Hệ thống chia trang đúng
2. Nút Next/Prev hoạt động</t>
  </si>
  <si>
    <t>Cập nhật mô tả Defect thành công</t>
  </si>
  <si>
    <t>Có DF021</t>
  </si>
  <si>
    <t>Mô tả mới</t>
  </si>
  <si>
    <t>Cập nhật Priority Defect</t>
  </si>
  <si>
    <t>Có DF022</t>
  </si>
  <si>
    <t>Cập nhật Severity Defect</t>
  </si>
  <si>
    <t>Có DF023</t>
  </si>
  <si>
    <t>Severity</t>
  </si>
  <si>
    <t>Cập nhật Assignee (chuyển cho Dev khác)</t>
  </si>
  <si>
    <t>DF024 Assigned cho DevA</t>
  </si>
  <si>
    <t>DevB</t>
  </si>
  <si>
    <t>Cập nhật Status: New → Assigned</t>
  </si>
  <si>
    <t>Lifecycle</t>
  </si>
  <si>
    <t>Có DF025 Status=New</t>
  </si>
  <si>
    <t>Assigned</t>
  </si>
  <si>
    <t>Dev cập nhật Status: Assigned → Fixed</t>
  </si>
  <si>
    <t>DF026 Assigned cho DevA</t>
  </si>
  <si>
    <t>Fixed</t>
  </si>
  <si>
    <t>Tester xác minh Defect Fixed → Verified</t>
  </si>
  <si>
    <t>DF027 Status=Fixed</t>
  </si>
  <si>
    <t>Verified</t>
  </si>
  <si>
    <t>Tester đóng Defect (Verified → Closed)</t>
  </si>
  <si>
    <t>DF028 Status=Verified</t>
  </si>
  <si>
    <t>Closed</t>
  </si>
  <si>
    <t>Mở lại Defect (Closed → Reopened)</t>
  </si>
  <si>
    <t>DF029 Status=Closed</t>
  </si>
  <si>
    <t>Reopened</t>
  </si>
  <si>
    <t>Cập nhật Status không hợp lệ (Fixed → New)</t>
  </si>
  <si>
    <t>DF030 Status=Fixed</t>
  </si>
  <si>
    <t>Invalid</t>
  </si>
  <si>
    <t>Cập nhật Defect không nhập mô tả</t>
  </si>
  <si>
    <t>Có DF031</t>
  </si>
  <si>
    <t>Mô tả trống</t>
  </si>
  <si>
    <t>Cập nhật Defect bằng ký tự đặc biệt</t>
  </si>
  <si>
    <t>Có DF032</t>
  </si>
  <si>
    <t>Crash@#Log</t>
  </si>
  <si>
    <t>Cập nhật Defect đồng thời nhiều user</t>
  </si>
  <si>
    <t>2 user cùng mở DF033</t>
  </si>
  <si>
    <t>DF033</t>
  </si>
  <si>
    <t>Xóa Defect hợp lệ</t>
  </si>
  <si>
    <t>Có DF034</t>
  </si>
  <si>
    <t>DF034</t>
  </si>
  <si>
    <t>Xóa Defect đã Closed</t>
  </si>
  <si>
    <t>DF035 Status=Closed</t>
  </si>
  <si>
    <t>DF035</t>
  </si>
  <si>
    <t>Xóa Defect đang Assigned</t>
  </si>
  <si>
    <t>DF036 Assigned cho DevA</t>
  </si>
  <si>
    <t>1. Delete DF036</t>
  </si>
  <si>
    <t>DF036</t>
  </si>
  <si>
    <t>1. Báo “Không thể xóa defect đang xử lý”</t>
  </si>
  <si>
    <t>Xóa Defect đồng thời 2 người</t>
  </si>
  <si>
    <t>DF037 tồn tại</t>
  </si>
  <si>
    <t>DF037</t>
  </si>
  <si>
    <t>Xóa nhiều Defect cùng lúc</t>
  </si>
  <si>
    <t>Có DF038-DF040</t>
  </si>
  <si>
    <t>DF038–040</t>
  </si>
  <si>
    <t>Dev cố gắng xóa Defect</t>
  </si>
  <si>
    <t>DF039 Assigned cho DevA</t>
  </si>
  <si>
    <t>1. Login DevA2. Delete DF039</t>
  </si>
  <si>
    <t>1. Báo “Không đủ quyền”</t>
  </si>
  <si>
    <t>Kiểm tra log thay đổi khi cập nhật Defect</t>
  </si>
  <si>
    <t>Audit Log</t>
  </si>
  <si>
    <t>DF040 tồn tại</t>
  </si>
  <si>
    <t>1. Login Tester
2. Chọn DF021
3. Chỉnh mô tả mới4. Save</t>
  </si>
  <si>
    <t>1. Form hiển thị
2. Cập nhật thành công
3. Lưu dữ liệu mới</t>
  </si>
  <si>
    <t>1. Login Tester
2. Update Priority từ Medium → High
3. Save</t>
  </si>
  <si>
    <t>3. Hệ thống cập nhật thành công. Priority hiển thị = High</t>
  </si>
  <si>
    <t>1. Update Severity từ Minor → Critical
2. Save</t>
  </si>
  <si>
    <t>2. Lưu thành công. Severity cập nhật đúng</t>
  </si>
  <si>
    <t>1. Update Assignee → DevB
2. Save</t>
  </si>
  <si>
    <t>2. Hệ thống lưu thành công. Defect chuyển sang DevB</t>
  </si>
  <si>
    <t>1. Update Status=Assigned
2. Save</t>
  </si>
  <si>
    <t>2. Lưu thành công. Lịch sử thay đổi ghi nhận chuyển trạng thái</t>
  </si>
  <si>
    <t>1. Login DevA
2. Cập nhật Status=Fixed
3. Save</t>
  </si>
  <si>
    <t>3. Lưu thành công. Status=Fixed. Ghi log hành động Dev</t>
  </si>
  <si>
    <t>1. Login Tester
2. Update Status=Verified
3. Save</t>
  </si>
  <si>
    <t>3. Cập nhật thành công. Status=Verified</t>
  </si>
  <si>
    <t>1. Update Status=Closed
2. Save</t>
  </si>
  <si>
    <t>2. Lưu thành công. Status=Closed. Ghi log “Closed by Tester”</t>
  </si>
  <si>
    <t>1. Login Tester
2. Update Status=Reopened
3. Save</t>
  </si>
  <si>
    <t>3. Lưu thành công. Status=Reopened</t>
  </si>
  <si>
    <t>1. Cập nhật Status=New
2. Save</t>
  </si>
  <si>
    <t>2. Báo lỗi “Không thể quay lại trạng thái trước đó”</t>
  </si>
  <si>
    <t>1. Update Description trống
2. Save</t>
  </si>
  <si>
    <t>2. Báo lỗi “Description bắt buộc”</t>
  </si>
  <si>
    <t>1. Nhập Title=“Crash@#Log”
2. Save</t>
  </si>
  <si>
    <t>2. Hệ thống lưu thành công. Không lỗi ký tự</t>
  </si>
  <si>
    <t>1. User A update mô tả
2. User B update Priority
3. Save cùng lúc</t>
  </si>
  <si>
    <t>1. Hệ thống xử lý tuần tự
2. Không mất dữ liệu
3. Ghi log đúng thay đổi</t>
  </si>
  <si>
    <t>1. Login Tester
2. Delete DF034
3. Confirm Yes</t>
  </si>
  <si>
    <t>3. Defect bị xóa. Ghi log xóa thành công</t>
  </si>
  <si>
    <t>1. Delete DF035
2. Confirm Yes</t>
  </si>
  <si>
    <t>2. Báo lỗi “Không thể xóa defect đã Closed”</t>
  </si>
  <si>
    <t>1. User A xóa DF037
2. User B xóa cùng lúc</t>
  </si>
  <si>
    <t>2. User A xóa thành công. User B nhận “Defect không tồn tại”</t>
  </si>
  <si>
    <t>1. Chọn nhiều checkbox
2. Delete
3. Confirm Yes</t>
  </si>
  <si>
    <t>3. Tất cả bị xóa thành công. Ghi log từng defect</t>
  </si>
  <si>
    <t>1. Update Description
2. Save
3. Mở tab History</t>
  </si>
  <si>
    <t>3. Log ghi “Description updated by Tester”</t>
  </si>
  <si>
    <t>Tester tạo Defect thành công</t>
  </si>
  <si>
    <t>Role</t>
  </si>
  <si>
    <t>DF041</t>
  </si>
  <si>
    <t>Developer không thể tạo Defect</t>
  </si>
  <si>
    <t>Login Developer</t>
  </si>
  <si>
    <t>Manager có thể tạo Defect</t>
  </si>
  <si>
    <t>Login Manager</t>
  </si>
  <si>
    <t>DF043</t>
  </si>
  <si>
    <t>Tester có thể cập nhật Defect</t>
  </si>
  <si>
    <t>DF044 Status=New</t>
  </si>
  <si>
    <t>DF044</t>
  </si>
  <si>
    <t>Developer chỉ có thể cập nhật Status</t>
  </si>
  <si>
    <t>DF045 Assigned cho DevA</t>
  </si>
  <si>
    <t>Manager có thể chỉnh sửa mọi trường</t>
  </si>
  <si>
    <t>DF046 tồn tại</t>
  </si>
  <si>
    <t>Viewer không thể chỉnh sửa Defect</t>
  </si>
  <si>
    <t>DF047 tồn tại</t>
  </si>
  <si>
    <t>Tester không thể thay đổi Status từ Fixed → Closed</t>
  </si>
  <si>
    <t>DF048 Status=Fixed</t>
  </si>
  <si>
    <t>Manager có thể đóng Defect</t>
  </si>
  <si>
    <t>DF049 Status=Verified</t>
  </si>
  <si>
    <t>Developer không thể đóng Defect</t>
  </si>
  <si>
    <t>DF050 Status=Verified</t>
  </si>
  <si>
    <t>Tester có thể Reopen Defect</t>
  </si>
  <si>
    <t>DF051 Status=Closed</t>
  </si>
  <si>
    <t>Developer không thể Reopen Defect</t>
  </si>
  <si>
    <t>DF052 Status=Closed</t>
  </si>
  <si>
    <t>1. Báo “Không đủ quyền mở lại defect”</t>
  </si>
  <si>
    <t>Manager có thể Reassign Defect cho Dev khác</t>
  </si>
  <si>
    <t>DF053 Assigned DevA</t>
  </si>
  <si>
    <t>Tester không thể Reassign Defect</t>
  </si>
  <si>
    <t>DF054 tồn tại</t>
  </si>
  <si>
    <t>Manager có thể xem tất cả Defect</t>
  </si>
  <si>
    <t>Có nhiều defect của các user</t>
  </si>
  <si>
    <t>Developer chỉ thấy defect được assign</t>
  </si>
  <si>
    <t>DF056 Assigned DevA</t>
  </si>
  <si>
    <t>Tester chỉ thấy defect do mình tạo</t>
  </si>
  <si>
    <t>Có DF tạo bởi Tester01</t>
  </si>
  <si>
    <t>Viewer chỉ có quyền xem danh sách defect</t>
  </si>
  <si>
    <t>Developer cố gắng truy cập link Create Defect</t>
  </si>
  <si>
    <t>Login DevA</t>
  </si>
  <si>
    <t>1. Nhập URL /defect/create</t>
  </si>
  <si>
    <t>1. Trang kiểm tra quyền2. Báo “Access Denied”</t>
  </si>
  <si>
    <t>Login bằng 4 vai trò khác nhau</t>
  </si>
  <si>
    <t>1. Login Tester
2. Vào Defect
3. Nhấn Add
4. Nhập thông tin hợp lệ
5. Save</t>
  </si>
  <si>
    <t>1. Đăng nhập thành công
3. Defect được tạo
5. Status = New</t>
  </si>
  <si>
    <t>1. Login Dev
2. Vào Defect
3. Nhấn Add</t>
  </si>
  <si>
    <t>3. Nút Add bị ẩn. Báo “Không đủ quyền tạo defect”</t>
  </si>
  <si>
    <t>3. Defect được tạo thành công. Ghi log “Created by Manager”</t>
  </si>
  <si>
    <t>1. Login Tester
2. Update mô tả
3. Save</t>
  </si>
  <si>
    <t>1. Login Manager
2. Vào Defect
3. Nhấn Add</t>
  </si>
  <si>
    <t>3. Cập nhật thành công. Lưu log người cập nhật</t>
  </si>
  <si>
    <t>1. Login DevA
2. Update Status=Fixed
3. Save</t>
  </si>
  <si>
    <t>3. Hệ thống chỉ cho phép thay đổi Status. Không cho phép sửa Title hoặc Priority</t>
  </si>
  <si>
    <t>1. Login Manager
2. Cập nhật Title, Assignee, Priority
3. Save</t>
  </si>
  <si>
    <t>3. Hệ thống cho phép chỉnh sửa. Lưu thành công</t>
  </si>
  <si>
    <t>1. Login Viewer
2. Mở DF047</t>
  </si>
  <si>
    <t>1. Hiển thị chế độ chỉ xem
2. Nút Save bị ẩn</t>
  </si>
  <si>
    <t>1. Login Tester
2. Update Status=Closed
3. Save</t>
  </si>
  <si>
    <t>3. Báo “Không đủ quyền đóng defect”</t>
  </si>
  <si>
    <t>1. Login Manager
2. Update Status=Closed
3. Save</t>
  </si>
  <si>
    <t>3. Cập nhật thành công. Status=Closed</t>
  </si>
  <si>
    <t>1. Login DevA
2. Update Status=Closed</t>
  </si>
  <si>
    <t>2. Báo “Không đủ quyền”</t>
  </si>
  <si>
    <t>3. Cập nhật thành công. Ghi log “Reopened by Tester”</t>
  </si>
  <si>
    <t>1. Login DevA
2. Cập nhật Status=Reopened
3. Save</t>
  </si>
  <si>
    <t>1. Login Manager
2. Update Assignee → DevB
3. Save</t>
  </si>
  <si>
    <t>1. Lưu thành công
2. Assignee thay đổi
3. Ghi log chuyển giao</t>
  </si>
  <si>
    <t>1. Login Tester
2. Thử thay đổi Assignee
3. Save</t>
  </si>
  <si>
    <t>3. Báo “Không đủ quyền thay đổi người xử lý”</t>
  </si>
  <si>
    <t>1. Login Manager
2. Vào danh sách defect</t>
  </si>
  <si>
    <t>2. Hiển thị tất cả defect trong hệ thống</t>
  </si>
  <si>
    <t>1. Login DevA
2. Vào danh sách defect</t>
  </si>
  <si>
    <t>2. Chỉ hiển thị defect của DevA</t>
  </si>
  <si>
    <t>1. Login Tester01
2. Vào danh sách defect</t>
  </si>
  <si>
    <t>2. Hiển thị defect do Tester01 tạo</t>
  </si>
  <si>
    <t>1. Login Viewer
2. Vào Defect List</t>
  </si>
  <si>
    <t>2. Hiển thị danh sách. Nút Add, Edit, Delete bị ẩn</t>
  </si>
  <si>
    <t>1. Login Tester
2. Login Dev
3. Login Manager
4. Login Viewer
5. Quan sát các nút Add/Edit/Delete</t>
  </si>
  <si>
    <t>1. Tester: Add/Edit
2. Dev: Edit Status
3. Manager: Full quyền
4. Viewer: chỉ xem</t>
  </si>
  <si>
    <t>Liên kết Defect với Test Case</t>
  </si>
  <si>
    <t>Có TC101</t>
  </si>
  <si>
    <t>DF061</t>
  </si>
  <si>
    <t>Liên kết nhiều Test Case vào 1 Defect</t>
  </si>
  <si>
    <t>Có TC102, TC103</t>
  </si>
  <si>
    <t>DF062</t>
  </si>
  <si>
    <t>Cập nhật Defect thay đổi Test Case liên kết</t>
  </si>
  <si>
    <t>DF063 gắn TC104</t>
  </si>
  <si>
    <t>DF063</t>
  </si>
  <si>
    <t>Xóa Test Case có Defect liên kết</t>
  </si>
  <si>
    <t>TC106 gắn DF064</t>
  </si>
  <si>
    <t>1. Delete TC106</t>
  </si>
  <si>
    <t>1. Báo “Không thể xóa Test Case đang liên kết Defect”</t>
  </si>
  <si>
    <t>Liên kết Defect với Test Plan</t>
  </si>
  <si>
    <t>Có TP301</t>
  </si>
  <si>
    <t>DF065</t>
  </si>
  <si>
    <t>Liên kết Defect với SRS</t>
  </si>
  <si>
    <t>Có SRS401</t>
  </si>
  <si>
    <t>DF066</t>
  </si>
  <si>
    <t>Cập nhật Defect đổi liên kết SRS</t>
  </si>
  <si>
    <t>DF067 gắn SRS402</t>
  </si>
  <si>
    <t>DF067</t>
  </si>
  <si>
    <t>Liên kết Defect với nhiều SRS</t>
  </si>
  <si>
    <t>Có SRS404, SRS405</t>
  </si>
  <si>
    <t>DF068</t>
  </si>
  <si>
    <t>Upload nhiều file minh chứng</t>
  </si>
  <si>
    <t>Attachment</t>
  </si>
  <si>
    <t>Có file .png, .log</t>
  </si>
  <si>
    <t>DF069</t>
  </si>
  <si>
    <t>Xóa file đính kèm khỏi Defect</t>
  </si>
  <si>
    <t>DF070 có file đính kèm</t>
  </si>
  <si>
    <t>Upload file vượt dung lượng</t>
  </si>
  <si>
    <t>Thêm comment vào Defect</t>
  </si>
  <si>
    <t>Comment</t>
  </si>
  <si>
    <t>Có DF072</t>
  </si>
  <si>
    <t>Chỉnh sửa comment của chính mình</t>
  </si>
  <si>
    <t>DF073 có comment của Tester01</t>
  </si>
  <si>
    <t>Không thể chỉnh sửa comment của người khác</t>
  </si>
  <si>
    <t>DF074 có comment của Tester02</t>
  </si>
  <si>
    <t>Xóa comment của chính mình</t>
  </si>
  <si>
    <t>Có comment của Tester01</t>
  </si>
  <si>
    <t>Manager xóa comment của người khác</t>
  </si>
  <si>
    <t>Có comment Tester01</t>
  </si>
  <si>
    <t>Kiểm tra hiển thị lịch sử thay đổi Defect</t>
  </si>
  <si>
    <t>History</t>
  </si>
  <si>
    <t>Có DF077</t>
  </si>
  <si>
    <t>Kiểm tra lọc lịch sử thay đổi theo user</t>
  </si>
  <si>
    <t>DF078 có nhiều log</t>
  </si>
  <si>
    <t>Kiểm tra liên kết Comment và History</t>
  </si>
  <si>
    <t>Có DF079</t>
  </si>
  <si>
    <t>Kiểm tra đồng bộ giữa Defect và Test Case khi cập nhật</t>
  </si>
  <si>
    <t>DF080 gắn TC108</t>
  </si>
  <si>
    <t>1. Login Tester
2. Add Defect
3. Gắn Test Case = TC101
4. Save</t>
  </si>
  <si>
    <t>4. Lưu thành công. Chi tiết Defect hiển thị Test Case liên kết</t>
  </si>
  <si>
    <t>1. Add Defect
2. Gắn TC102, TC103
3. Save</t>
  </si>
  <si>
    <t>3. Defect lưu thành công. Hiển thị danh sách Test Case đã gắn</t>
  </si>
  <si>
    <t>1. Update DF063
2. Gỡ TC104
3. Gắn TC105
4. Save</t>
  </si>
  <si>
    <t>4. Hệ thống lưu thành công. Liên kết cập nhật chính xác</t>
  </si>
  <si>
    <t>1. Add Defect
2. Chọn Test Plan TP301
3. Save</t>
  </si>
  <si>
    <t>3. Lưu thành công. Chi tiết Defect hiển thị TP301</t>
  </si>
  <si>
    <t>1. Add Defect
2. Gắn SRS401
3. Save</t>
  </si>
  <si>
    <t>3. Defect lưu thành công. Hiển thị đúng liên kết SRS</t>
  </si>
  <si>
    <t>1. Update DF067
2. Đổi sang SRS403
3. Save</t>
  </si>
  <si>
    <t>3. Cập nhật thành công. Liên kết SRS đổi đúng</t>
  </si>
  <si>
    <t>1. Add Defect
2. Gắn cả hai SRS
3. Save</t>
  </si>
  <si>
    <t>3. Defect lưu thành công. Hiển thị cả SRS404, SRS405</t>
  </si>
  <si>
    <t>1. Add Defect
2. Upload 2 file
3. Save</t>
  </si>
  <si>
    <t>3. Cả 2 file upload thành công. Hiển thị trong phần Attachment</t>
  </si>
  <si>
    <t>1. Mở DF070
2. Xóa file
3. Save</t>
  </si>
  <si>
    <t>3. File bị xóa. Lưu lại thành công</t>
  </si>
  <si>
    <t>1. Add Defect
2. Upload file 60MB
3. Save</t>
  </si>
  <si>
    <t>3. Báo lỗi “Dung lượng vượt quá cho phép”</t>
  </si>
  <si>
    <t>3. Comment được lưu. Hiển thị trong danh sách</t>
  </si>
  <si>
    <t>1. Mở DF072
2. Nhập comment “Bug xuất hiện khi login”
3. Save</t>
  </si>
  <si>
    <t>1. Login Tester01
2. Edit comment
3. Save</t>
  </si>
  <si>
    <t>3. Comment chỉnh sửa thành công. Ghi log thay đổi</t>
  </si>
  <si>
    <t>1. Login Tester03
2. Thử edit comment</t>
  </si>
  <si>
    <t>2. Nút Edit bị ẩn. Báo “Không đủ quyền chỉnh sửa”</t>
  </si>
  <si>
    <t>1. Login Tester01
2. Delete comment
3. Confirm</t>
  </si>
  <si>
    <t>3. Comment bị xóa. Ghi log “Comment deleted”</t>
  </si>
  <si>
    <t>1. Login Manager
2. Delete comment</t>
  </si>
  <si>
    <t>2. Xóa thành công. Ghi log “Deleted by Manager”</t>
  </si>
  <si>
    <t>1. Cập nhật DF077
2. Mở tab History</t>
  </si>
  <si>
    <t>2. Hiển thị đầy đủ thay đổi (ngày, người, nội dung)</t>
  </si>
  <si>
    <t>1. Mở tab History
2. Lọc theo Tester01</t>
  </si>
  <si>
    <t>2. Hiển thị các thay đổi của Tester01</t>
  </si>
  <si>
    <t>1. Thêm comment
2. Mở tab History</t>
  </si>
  <si>
    <t>2. History hiển thị “Comment added”</t>
  </si>
  <si>
    <t>1. Update DF080 (Status=Fixed)
2. Mở TC108</t>
  </si>
  <si>
    <t>2. TC108 hiển thị trạng thái Defect đã Fixed</t>
  </si>
  <si>
    <t>Kiểm tra giao diện danh sách Defect</t>
  </si>
  <si>
    <t>Có nhiều Defect</t>
  </si>
  <si>
    <t>Kiểm tra tốc độ load danh sách 1000 Defect</t>
  </si>
  <si>
    <t>DB có 1000 Defect</t>
  </si>
  <si>
    <t>Kiểm tra phân trang danh sách Defect</t>
  </si>
  <si>
    <t>Có &gt;50 Defect</t>
  </si>
  <si>
    <t>Có 200 defect</t>
  </si>
  <si>
    <t>1. Nhấn Next liên tục</t>
  </si>
  <si>
    <t>Xuất danh sách Defect ra Excel</t>
  </si>
  <si>
    <t>Xuất Defect theo bộ lọc Status=Closed</t>
  </si>
  <si>
    <t>Có Defect Closed</t>
  </si>
  <si>
    <t>Xuất dữ liệu lớn (5000 defect)</t>
  </si>
  <si>
    <t>DB có 5000 defect</t>
  </si>
  <si>
    <t>1. Export All</t>
  </si>
  <si>
    <t>Kiểm tra thông báo khi Dev được assign Defect</t>
  </si>
  <si>
    <t>Notification</t>
  </si>
  <si>
    <t>Có DF089 assign DevA</t>
  </si>
  <si>
    <t>Gửi email tự động khi Defect chuyển sang Closed</t>
  </si>
  <si>
    <t>DF090 Status=Verified</t>
  </si>
  <si>
    <t>DF090</t>
  </si>
  <si>
    <t>Kiểm tra XSS trong Title Defect</t>
  </si>
  <si>
    <t>Kiểm tra SQL Injection ở ô Search</t>
  </si>
  <si>
    <t>Kiểm tra độ dài tối đa của Title</t>
  </si>
  <si>
    <t>Kiểm tra nhập ký tự đặc biệt Unicode</t>
  </si>
  <si>
    <t>Truy cập API lấy Defect khi chưa login</t>
  </si>
  <si>
    <t>1. Gửi GET /api/defect</t>
  </si>
  <si>
    <t>Truy cập API tạo Defect với token hết hạn</t>
  </si>
  <si>
    <t>1. POST /api/defect với token hết hạn</t>
  </si>
  <si>
    <t>1. Trả về 403 Forbidden2. Không tạo mới</t>
  </si>
  <si>
    <t>Kiểm tra đồng thời 50 user tạo Defect</t>
  </si>
  <si>
    <t>1. 50 user cùng gửi POST tạo Defect</t>
  </si>
  <si>
    <t>Kiểm tra backup dữ liệu Defect</t>
  </si>
  <si>
    <t>Kiểm tra restore dữ liệu Defect từ backup</t>
  </si>
  <si>
    <t>1. Login
2. Vào Defect List
3. Quan sát giao diện</t>
  </si>
  <si>
    <t>2. Hiển thị theo bảng. Có cột ID, Title, Status, Priority, Assignee, Date
3. Nút Add/Update/Delete hiển thị đúng</t>
  </si>
  <si>
    <t>1. Login mobile
2. Vào Defect List</t>
  </si>
  <si>
    <t>1. Giao diện hiển thị vừa màn hình
2. Có cuộn ngang nếu cần. Không lỗi hiển thị</t>
  </si>
  <si>
    <t>1. Login
2. Vào Defect List</t>
  </si>
  <si>
    <t>1. Hệ thống load &lt; 3s
2. Không bị treo hoặc timeout</t>
  </si>
  <si>
    <t>1. Vào List
2. Quan sát phân trang</t>
  </si>
  <si>
    <t>2. Mỗi trang hiển thị đúng số defect. Nút Next/Prev hoạt động</t>
  </si>
  <si>
    <t>1. Hệ thống phản hồi mượt. Không crash. Không mất dữ liệu</t>
  </si>
  <si>
    <t>1. Vào Defect
2. Nhấn Export All</t>
  </si>
  <si>
    <t>2. File tải thành công. Dữ liệu đúng định dạng</t>
  </si>
  <si>
    <t>1. Lọc Status=Closed
2. Export</t>
  </si>
  <si>
    <t>2. File chỉ chứa defect Closed</t>
  </si>
  <si>
    <t>1. File xuất hoàn tất trong &lt;10s. Không lỗi ghi file</t>
  </si>
  <si>
    <t>1. Assign DF089 → DevA
2. Quan sát thông báo</t>
  </si>
  <si>
    <t>2. DevA nhận notification. Thông báo hiển thị rõ ràng</t>
  </si>
  <si>
    <t>2. Email gửi đến Tester &amp; Manager2. Nội dung đúng</t>
  </si>
  <si>
    <t>2. Hệ thống từ chối. Không thực thi script</t>
  </si>
  <si>
    <t>2. Hệ thống chặn. Không trả về dữ liệu trái phép</t>
  </si>
  <si>
    <t>1. Nhập Title=300 ký tự
2. Save</t>
  </si>
  <si>
    <t>2. Báo lỗi “Vượt quá 255 ký tự”</t>
  </si>
  <si>
    <t>1. Nhập Description có emoji “🔥✅🐞”
2. Save</t>
  </si>
  <si>
    <t>2. Lưu thành công. Không lỗi font</t>
  </si>
  <si>
    <t>1. Login
2. Không thao tác 30 phút
3. Nhấn Update</t>
  </si>
  <si>
    <t>2. Hệ thống logout tự động
3. Chuyển về màn hình login</t>
  </si>
  <si>
    <t>1. Thực hiện backup hệ thống
2. Kiểm tra file backup</t>
  </si>
  <si>
    <t>1. Xóa vài defect
2. Restore từ backup
3. Kiểm tra lại danh sách</t>
  </si>
  <si>
    <t>1. Hệ thống xử lý ổn định. Không crash3. ID không trùng</t>
  </si>
  <si>
    <t>1. File backup tạo thành công
2. Dữ liệu đầy đủ</t>
  </si>
  <si>
    <t>1. Dữ liệu khôi phục đầy đủ
2. Không lỗi hoặc mất defect</t>
  </si>
  <si>
    <r>
      <t>1. Nhập Title=</t>
    </r>
    <r>
      <rPr>
        <sz val="10"/>
        <color theme="1"/>
        <rFont val="Times New Roman"/>
        <family val="1"/>
      </rPr>
      <t xml:space="preserve">&lt;script&gt;alert(1)&lt;/script&gt;
</t>
    </r>
    <r>
      <rPr>
        <sz val="11"/>
        <color theme="1"/>
        <rFont val="Times New Roman"/>
        <family val="1"/>
      </rPr>
      <t>2. Save</t>
    </r>
  </si>
  <si>
    <r>
      <t>1. Search Title=</t>
    </r>
    <r>
      <rPr>
        <sz val="10"/>
        <color theme="1"/>
        <rFont val="Times New Roman"/>
        <family val="1"/>
      </rPr>
      <t xml:space="preserve">' OR 1=1--
</t>
    </r>
    <r>
      <rPr>
        <sz val="11"/>
        <color theme="1"/>
        <rFont val="Times New Roman"/>
        <family val="1"/>
      </rPr>
      <t>2. Search</t>
    </r>
  </si>
  <si>
    <t>Result</t>
  </si>
  <si>
    <t>FAIL</t>
  </si>
  <si>
    <t>Note</t>
  </si>
  <si>
    <t>PASS</t>
  </si>
  <si>
    <t>Đã fix</t>
  </si>
  <si>
    <t>BLOCKED</t>
  </si>
  <si>
    <t xml:space="preserve">không có môi trường DB có quyền cần thiết
</t>
  </si>
  <si>
    <t xml:space="preserve">
</t>
  </si>
  <si>
    <t>Chưa đủ diều kiện</t>
  </si>
  <si>
    <t>không có môi trường DB có quyền cần thiết</t>
  </si>
  <si>
    <r>
      <t>1. Vào Create SRS
2. Nhập Title=</t>
    </r>
    <r>
      <rPr>
        <sz val="10"/>
        <color theme="1"/>
        <rFont val="Times New Roman"/>
        <family val="1"/>
      </rPr>
      <t xml:space="preserve">&lt;script&gt;alert(1)&lt;/script&gt;
</t>
    </r>
    <r>
      <rPr>
        <sz val="11"/>
        <color theme="1"/>
        <rFont val="Times New Roman"/>
        <family val="1"/>
      </rPr>
      <t>3. Nhấn Add</t>
    </r>
  </si>
  <si>
    <t>Thiếu môi trường</t>
  </si>
  <si>
    <t>THỐNG KÊ</t>
  </si>
  <si>
    <t>Count</t>
  </si>
  <si>
    <t>Percentage</t>
  </si>
  <si>
    <t>Tổng Testcase  Chức năng SRS Management</t>
  </si>
  <si>
    <t>Tổng Testcase  Chức năng Test Plan Management</t>
  </si>
  <si>
    <t xml:space="preserve">không có dữ liệu
</t>
  </si>
  <si>
    <t>Dã fix</t>
  </si>
  <si>
    <t>Tổng Testcase  Chức năng Testcase Management</t>
  </si>
  <si>
    <t>Không có Database</t>
  </si>
  <si>
    <t>Tổng Testcase  Chức năng Defect Management</t>
  </si>
  <si>
    <t>Tạo Defect trùng ID</t>
  </si>
  <si>
    <t>1. Add Defect
2. Nhập ID giống DF001
3. Save</t>
  </si>
  <si>
    <t>Tìm kiếm Defect theo ID</t>
  </si>
  <si>
    <t>1. Search ID=DF001
2. Nhấn Search</t>
  </si>
  <si>
    <t>1. Hệ thống hiển thị danh sách SRS đã có
2. Hiển thị form Add SRS
4. Có thồng báo ADD thành công và SRS mới hiển thị trong danh sách</t>
  </si>
  <si>
    <t>SRS Management</t>
  </si>
  <si>
    <t>1. Danh sách hiển thị
2. Hệ thống xử lý một lần, tránh lỗi trùng lặp</t>
  </si>
  <si>
    <t>1. Vào Test Plan Management
2. Nhấn Add
3. Chọn SRS201
4. Nhập dữ liệu hợp lệ
5. Nhấn Add</t>
  </si>
  <si>
    <t>2. Form hiển thị
5. Test Plan tạo thành công và liên kết SRS201</t>
  </si>
  <si>
    <t>1. Vào Test Plan
2. Nhấn +Add more
3. Chọn SRS999
4. Nhấn Add</t>
  </si>
  <si>
    <t>2. Form hiển thị
3. Không xuất hiện SRS999
4. không thể add vì thiếu SRS</t>
  </si>
  <si>
    <t>1. Vào SRS Management
2. Chọn Delete SRS202
3. Nhấn Yes</t>
  </si>
  <si>
    <t>1. Danh sách hiển thị
2. Hiện màn hình xác nhận có xoá hay không
3. Hệ thống báo lỗi "Không thể xóa, SRS đang gắn Test Plan"</t>
  </si>
  <si>
    <t>1. Cập nhật Title SRS203
2. Vào Test Plan TP_B liên kết
3. Kiểm tra dữ liệu</t>
  </si>
  <si>
    <t>1. Cập nhật thành công
3. Trong Test Plan hiển thị Title mới</t>
  </si>
  <si>
    <t>1. Vào Test Case
2. Nhấn Add
3. Chọn Test Plan TP_C (thuộc SRS204)
4. Nhập dữ liệu
5. Save</t>
  </si>
  <si>
    <t>1. Hiện danh sách Testcase
2. Hiện màn hình create testcase
5. Test Case tạo thành công</t>
  </si>
  <si>
    <t>1. Vào Test Case
2. Add Test Case
3. Chọn TP_X</t>
  </si>
  <si>
    <t>1. Form hiển thị
2. Người dùng chọn TP_X
3. Hệ thống báo lỗi "Test Plan không gắn SRS"</t>
  </si>
  <si>
    <t>1. Vào SRS Management
2. Chọn Delete SRS205
3. Nhấn Yes</t>
  </si>
  <si>
    <t>1. Danh sách hiển thị
2. Hiẹn màn hình xác nhận
3. Hệ thống báo "Không thể xóa, có Test Case liên kết"</t>
  </si>
  <si>
    <t>1. Cập nhật Version SRS206 thành 2.0
2. Vào Test Case TC_0043. Kiểm tra thông tin</t>
  </si>
  <si>
    <t>1. Cập nhật thành công
2. Test Case hiển thị version mới</t>
  </si>
  <si>
    <t>1. Vào Test Plan
2. Search theo SRS207</t>
  </si>
  <si>
    <t>2. Hệ thống trả về đúng Test Plan TP_D</t>
  </si>
  <si>
    <t>1. Vào Test Case
2. Chọn Export All
3. Chọn filter theo SRS208</t>
  </si>
  <si>
    <t>2. Hệ thống export file Excel
3. File chứa đúng danh sách TC của SRS208</t>
  </si>
  <si>
    <t>1. Chạy Test Case TC_005
2. Mark Fail
3. Nhấn Create Defect</t>
  </si>
  <si>
    <t>2. Defect tạo thành công
3. Được liên kết với TC_005 và SRS209</t>
  </si>
  <si>
    <t>1. Vào Defect
2. Filter theo SRS210</t>
  </si>
  <si>
    <t>2. Hệ thống hiển thị tất cả Defect của SRS210</t>
  </si>
  <si>
    <t>1. Vào SRS Management
2. Chọn Delete SRS211</t>
  </si>
  <si>
    <t>1. Người dùng chọn Delete
2. Hệ thống báo "Không thể xóa, có Defect liên kết"</t>
  </si>
  <si>
    <t>1. Update Title SRS212
2. Vào Defect DF_0043. Kiểm tra dữ liệu</t>
  </si>
  <si>
    <t>1. Cập nhật thành công
2. Trong Defect DF_004 hiển thị Title mới</t>
  </si>
  <si>
    <t>1. Vào Defect Management
2. Export All filter theo SRS213</t>
  </si>
  <si>
    <t>1. File Excel tải về
2. Chứa đúng Defect gắn với SRS213</t>
  </si>
  <si>
    <t>1. Vào báo cáo Test Plan
2. Filter theo SRS214</t>
  </si>
  <si>
    <t>2. Báo cáo hiển thị đúng số Test Plan của SRS214</t>
  </si>
  <si>
    <t>1. Vào báo cáo Test Case
2. Filter theo SRS215</t>
  </si>
  <si>
    <t>2. Báo cáo hiển thị đúng số Test Case của SRS215</t>
  </si>
  <si>
    <t>1. Vào Test Case
2. Nhấn Import
3. Chọn file TC.xlsx gắn SRS217</t>
  </si>
  <si>
    <t>2. Import thành công
3. Test Case gắn với SRS217</t>
  </si>
  <si>
    <t>1. Vào Test Plan
2. Nhấn Import
3. Chọn file TP.xlsx gắn SRS218</t>
  </si>
  <si>
    <t>2. Import thành công
3. Test Plan gắn với SRS218</t>
  </si>
  <si>
    <t>1. Vào SRS Management
2. Quan sát layout</t>
  </si>
  <si>
    <t>1. Danh sách hiển thị theo bảng
2. Các cột ID, Title, Version, Author, Year đầy đủ. Nút Add, Update, Delete đúng vị trí</t>
  </si>
  <si>
    <t>1. Vào SRS Management bằng mobile
2. Quan sát</t>
  </si>
  <si>
    <t>2. Bảng hiển thị gọn. Các nút không bị che khuất. Có thanh cuộn ngang khi cần</t>
  </si>
  <si>
    <t>1. Hệ thống load trong &lt; 3s. Không bị treo UI</t>
  </si>
  <si>
    <t>1. Vào SRS Management
2. Quan sát phân trang</t>
  </si>
  <si>
    <t>2. Mỗi trang hiển thị đúng số record quy định (ví dụ 10). Nút Next/Prev hoạt động đúng</t>
  </si>
  <si>
    <t>1. Vào trang 1
2. Nhấn Next liên tục đến trang cuối</t>
  </si>
  <si>
    <t>2. Hệ thống chuyển trang mượt. Không lỗi, không hiển thị trùng lặp</t>
  </si>
  <si>
    <t>1. Vào SRS Management
2. Nhấn Export All</t>
  </si>
  <si>
    <t>2. File Excel tải về thành công. File chứa đầy đủ cột ID, Title, Version, Author, Year</t>
  </si>
  <si>
    <t>1. Search SRS301
2. Nhấn Export Selected</t>
  </si>
  <si>
    <t>2. File Excel chỉ chứa đúng bản ghi SRS301</t>
  </si>
  <si>
    <t>1. File Excel tải thành công. Không mất dữ liệu. Thời gian xuất &lt; 10s</t>
  </si>
  <si>
    <t>1. Xóa 1 số SRS trong DB
2. Chạy Restore từ file backup
3. Kiểm tra lại danh sách</t>
  </si>
  <si>
    <t>2. Dữ liệu khôi phục đầy đủ
3. Không bị mất mát</t>
  </si>
  <si>
    <t>1. Chạy tính năng backup hệ thống
2. Kiểm tra file backup</t>
  </si>
  <si>
    <t>1. File backup tạo thành công
2. Chứa đầy đủ dữ liệu</t>
  </si>
  <si>
    <t>1. Hệ thống xử lý đúng. Không crash. ID không bị trùng</t>
  </si>
  <si>
    <t>1. API trả về 403 Forbidden. Không tạo mới</t>
  </si>
  <si>
    <t>1. API trả về 401 Unauthorized. Không lộ dữ liệu</t>
  </si>
  <si>
    <t>1. Vào SRS Management
2. Không thao tác 30 phút
3. Nhấn Add</t>
  </si>
  <si>
    <t>2. Sau 30 phút hệ thống tự logout
3. Khi thao tác, hiển thị màn hình login</t>
  </si>
  <si>
    <t>1. Vào Create SRS
2. Nhập mô tả với emoji 😁🚀</t>
  </si>
  <si>
    <t>2. Hệ thống lưu thành công. Không bị lỗi font</t>
  </si>
  <si>
    <t>1. Vào Create SRS
2. Nhập Title với 500 ký tự
3. Nhấn Add</t>
  </si>
  <si>
    <t>1. Form hiển thị
3. Hệ thống chấp nhận nếu cho phép. Nếu vượt giới hạn thì báo lỗi rõ ràng</t>
  </si>
  <si>
    <r>
      <t>1. Vào Create SRS
2. Nhập ID=</t>
    </r>
    <r>
      <rPr>
        <sz val="10"/>
        <color theme="1"/>
        <rFont val="Times New Roman"/>
        <family val="1"/>
      </rPr>
      <t xml:space="preserve">' OR 1=1--
</t>
    </r>
    <r>
      <rPr>
        <sz val="11"/>
        <color theme="1"/>
        <rFont val="Times New Roman"/>
        <family val="1"/>
      </rPr>
      <t>3. Nhấn Add</t>
    </r>
  </si>
  <si>
    <t>1. Form hiển thị
3. Hệ thống từ chối. Dữ liệu không bị rò rỉ</t>
  </si>
  <si>
    <t>1. Form hiển thị
3. Hệ thống từ chối script. Không thực thi JavaScript</t>
  </si>
  <si>
    <t>1. Vào Create SRS
2. Upload file 60MB
3. Nhấn Add</t>
  </si>
  <si>
    <t>1. Form hiển thị
3. Hệ thống báo "Dung lượng vượt quá giới hạn"</t>
  </si>
  <si>
    <t>1. Vào Create SRS
2. Upload file 20MB
3. Nhấn Add</t>
  </si>
  <si>
    <t>1. Upload thành công
2. Thời gian upload trong giới hạn (ví dụ 15s)
3. Không crash hệ thống</t>
  </si>
  <si>
    <t>1. Form hiển thị
3. Hệ thống báo lỗi dưới textbox "Title bắt buộc"
4. Hệ thống báo lỗi "Title bắt buộc"</t>
  </si>
  <si>
    <t>1. Hiện màn hình Test Plan
2. Form hiển thị
4. Test Plan tạo thành công, hiển thị trong danh sách</t>
  </si>
  <si>
    <t>1. Form hiển thị
2. Hệ thống báo lỗi dưới date picker "End date không hợp lệ"
3. Hệ thống báo lỗi "Ngày bắt đầu phải nhỏ hơn ngày kết thúc"</t>
  </si>
  <si>
    <t>1. Form hiển thị
3. Hệ thống báo lỗi "Ngày không hợp lệ"</t>
  </si>
  <si>
    <t>1. Form hiển thị
3. Người dùng chọn nhiều Tester
4. Hệ thống lưu đúng danh sách Tester</t>
  </si>
  <si>
    <t>1. Vào Create TP
2. Nhập đủ dữ liệu 
3. Chọn nhiều Tester
4. Nhấn Add</t>
  </si>
  <si>
    <t>1. Form hiển thị
3. Hệ thống đóng form, không lưu</t>
  </si>
  <si>
    <t>1. Form hiển thị
3. Hệ thống trả về toàn bộ danh sách</t>
  </si>
  <si>
    <t>1. Vào Test Plan Management
2. Nhấn Add
3. Chọn SRS301  Nhập dữ liệu hợp lệ
4. Nhấn Save</t>
  </si>
  <si>
    <t>2. Form hiển thị
4. Hệ thống lưu Test Plan thành công</t>
  </si>
  <si>
    <t>1. Xóa vài Test Plan
2. Restore từ file backup
3. Kiểm tra lại danh sách</t>
  </si>
  <si>
    <t>1. Dữ liệu được khôi phục
2. Không mất mát</t>
  </si>
  <si>
    <t>1. Đăng nhập
2. Không thao tác 30 phút3. Nhấn Update</t>
  </si>
  <si>
    <t>2. Hệ thống logout tự động. Người dùng bị chuyển về login</t>
  </si>
  <si>
    <t>2. Hệ thống lưu thành công. Không lỗi font</t>
  </si>
  <si>
    <t>1. Nhập mô tả “Test 🚀🔥”
2. Save</t>
  </si>
  <si>
    <t>1. Nhập Title=500 ký tự
2. Save</t>
  </si>
  <si>
    <t>1. Vào Test Plan
2. Nhấn Add
3. Chọn SRS9994. Nhấn Save</t>
  </si>
  <si>
    <t>1. Form hiển thị
2. Người dùng nhập sai
3. Hệ thống báo lỗi “SRS không tồn tại”</t>
  </si>
  <si>
    <t>1. Vào SRS Management
2. Thử Delete SRS303</t>
  </si>
  <si>
    <t>1. Form hiển thị
2. Người dùng xóa
3. Hệ thống báo “Không thể xóa, đã gắn Test Plan”</t>
  </si>
  <si>
    <t>1. Update Title của SRS304
2. Vào TP3043. Kiểm tra dữ liệu</t>
  </si>
  <si>
    <t>1. Vào Test Case
2. Nhấn Add
3. Chọn TP305
4. Nhập dữ liệu hợp lệ
5. Save</t>
  </si>
  <si>
    <t>1. Form hiển thị
2. Test Case lưu thành công
3. Gắn với TP305</t>
  </si>
  <si>
    <t>1. Form hiển thị
4. Báo lỗi “Title bắt buộc”</t>
  </si>
  <si>
    <t>1. Form hiển thị
3. Báo lỗi bên dưới textbox “Steps bắt buộc”
4. Báo lỗi “Steps bắt buộc”</t>
  </si>
  <si>
    <t>1. Vào Create TC
2. Nhập dữ liệu
3. Bỏ trống Steps
4. Save</t>
  </si>
  <si>
    <t>1. Form hiển thị
2. Báo lỗi dropdown“Phải chọn Test Plan”
3. Save thất bại, báo lỗi “Phải chọn Test Plan”</t>
  </si>
  <si>
    <t>1. Form hiển thị
3. Hệ thống lưu thành công với Priority=High</t>
  </si>
  <si>
    <t>1. Form hiển thị
3. Hệ thống lưu thành công với Status=Draft</t>
  </si>
  <si>
    <t>1. Form hiển thị
3. Hệ thống lưu đầy đủ expected result</t>
  </si>
  <si>
    <t>1. Form hiển thị
3. Hệ thống trả về đúng record</t>
  </si>
  <si>
    <t>1. Form hiển thị
3. Trả về danh sách TC Priority=High</t>
  </si>
  <si>
    <t>1. Form hiển thị
3. Trả về đúng Test Case</t>
  </si>
  <si>
    <t>1. Form hiển thị
3. Trả về danh sách TC của TP101</t>
  </si>
  <si>
    <t>1. Form hiển thị
3. Trả về “Không có kết quả”</t>
  </si>
  <si>
    <t>1. Hiện màn hình Add defect
3. Báo lỗi “Severity bắt buộc”</t>
  </si>
  <si>
    <t>1. Hiện màn hình Add defect
2. Dữ liệu nhập hợp lệ
4. Defect tạo thành công</t>
  </si>
  <si>
    <t>1. Hiện màn hình Add defect
2. Báo lỗi “Title bắt buộc”
3. Không lưu dữ liệu</t>
  </si>
  <si>
    <t>1. Hiện màn hình Add defect
3. Báo lỗi “Priority bắt buộc”</t>
  </si>
  <si>
    <t>1. Hiện màn hình Add defect
2. Upload thành công
3. Ảnh hiển thị trong chi tiết defect</t>
  </si>
  <si>
    <t>1. Hiện màn hình Add defect
2. Hệ thống lưu thành công
3. Không lỗi hiển thị</t>
  </si>
  <si>
    <t>1. Hiện màn hình Add defect
2. Hệ thống lưu thành công
3. Không lỗi ký tự</t>
  </si>
  <si>
    <t>1. Hiện màn hình Add defect
3. Hệ thống lưu thành công. Assignee mặc định = “Unassigned”</t>
  </si>
  <si>
    <t>1. Hiện màn hình Add defect
3. Báo lỗi “Defect đã tồn tại”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</si>
</sst>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Aptos Narrow"/>
      <family val="2"/>
      <scheme val="minor"/>
    </font>
    <font>
      <sz val="11"/>
      <color rgb="FFFF0000"/>
      <name val="Times New Roman"/>
      <family val="1"/>
    </font>
    <font>
      <sz val="11"/>
      <color theme="5"/>
      <name val="Times New Roman"/>
      <family val="1"/>
    </font>
    <font>
      <b/>
      <sz val="1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33CCCC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27">
    <xf numFmtId="0" fontId="0" fillId="0" borderId="0" xfId="0"/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3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3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vertical="center"/>
    </xf>
    <xf numFmtId="0" fontId="3" fillId="0" borderId="4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9" fontId="3" fillId="0" borderId="1" xfId="1" applyFont="1" applyBorder="1" applyAlignment="1">
      <alignment vertical="center"/>
    </xf>
    <xf numFmtId="0" fontId="2" fillId="0" borderId="5" xfId="0" applyFont="1" applyBorder="1" applyAlignment="1">
      <alignment horizontal="center" vertical="top"/>
    </xf>
    <xf numFmtId="0" fontId="8" fillId="0" borderId="1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A7F6D-D64F-47C2-A40E-1857409D04F8}">
  <dimension ref="A1:N107"/>
  <sheetViews>
    <sheetView tabSelected="1" topLeftCell="A87" zoomScale="55" zoomScaleNormal="55" workbookViewId="0">
      <selection activeCell="K95" sqref="K95"/>
    </sheetView>
  </sheetViews>
  <sheetFormatPr defaultRowHeight="14.5" x14ac:dyDescent="0.35"/>
  <cols>
    <col min="1" max="1" width="13.1796875" style="2" customWidth="1"/>
    <col min="2" max="2" width="32.1796875" style="1" customWidth="1"/>
    <col min="3" max="3" width="39.26953125" style="2" customWidth="1"/>
    <col min="4" max="4" width="16.08984375" style="2" bestFit="1" customWidth="1"/>
    <col min="5" max="5" width="13.54296875" style="2" customWidth="1"/>
    <col min="6" max="6" width="20.7265625" style="2" customWidth="1"/>
    <col min="7" max="7" width="41.54296875" style="2" customWidth="1"/>
    <col min="8" max="8" width="26" style="3" customWidth="1"/>
    <col min="9" max="9" width="18.08984375" style="2" customWidth="1"/>
    <col min="10" max="10" width="22.1796875" customWidth="1"/>
    <col min="11" max="11" width="14.08984375" customWidth="1"/>
    <col min="12" max="12" width="14.08984375" style="18" customWidth="1"/>
    <col min="13" max="13" width="20.453125" style="2" customWidth="1"/>
    <col min="14" max="14" width="15" style="20" customWidth="1"/>
  </cols>
  <sheetData>
    <row r="1" spans="1:14" ht="33.5" customHeight="1" x14ac:dyDescent="0.35">
      <c r="B1" s="8"/>
      <c r="C1" s="19" t="s">
        <v>1995</v>
      </c>
      <c r="E1" s="26" t="s">
        <v>1992</v>
      </c>
      <c r="F1" s="26"/>
      <c r="G1" s="26"/>
    </row>
    <row r="2" spans="1:14" x14ac:dyDescent="0.35">
      <c r="B2" s="8"/>
      <c r="C2" s="19">
        <v>100</v>
      </c>
      <c r="E2" s="14" t="s">
        <v>1980</v>
      </c>
      <c r="F2" s="14" t="s">
        <v>1993</v>
      </c>
      <c r="G2" s="14" t="s">
        <v>1994</v>
      </c>
    </row>
    <row r="3" spans="1:14" x14ac:dyDescent="0.35">
      <c r="B3" s="8"/>
      <c r="E3" s="14" t="s">
        <v>1983</v>
      </c>
      <c r="F3" s="14">
        <f>COUNTIF(L8:L107,"PASS")</f>
        <v>71</v>
      </c>
      <c r="G3" s="24">
        <f>F3/$C$2</f>
        <v>0.71</v>
      </c>
    </row>
    <row r="4" spans="1:14" x14ac:dyDescent="0.35">
      <c r="B4" s="8"/>
      <c r="E4" s="14" t="s">
        <v>1981</v>
      </c>
      <c r="F4" s="14">
        <f>COUNTIF(L8:L107,"FAIL")</f>
        <v>3</v>
      </c>
      <c r="G4" s="24">
        <f t="shared" ref="G4:G5" si="0">F4/$C$2</f>
        <v>0.03</v>
      </c>
    </row>
    <row r="5" spans="1:14" x14ac:dyDescent="0.35">
      <c r="B5" s="8"/>
      <c r="E5" s="14" t="s">
        <v>1985</v>
      </c>
      <c r="F5" s="14">
        <f>COUNTIF(L8:L107,"BLOCKED")</f>
        <v>26</v>
      </c>
      <c r="G5" s="24">
        <f t="shared" si="0"/>
        <v>0.26</v>
      </c>
    </row>
    <row r="6" spans="1:14" ht="18" customHeight="1" x14ac:dyDescent="0.35">
      <c r="A6" s="8"/>
      <c r="B6" s="8"/>
      <c r="C6" s="8"/>
    </row>
    <row r="7" spans="1:14" s="4" customFormat="1" ht="14" x14ac:dyDescent="0.3">
      <c r="A7" s="5" t="s">
        <v>0</v>
      </c>
      <c r="B7" s="5" t="s">
        <v>21</v>
      </c>
      <c r="C7" s="5" t="s">
        <v>1</v>
      </c>
      <c r="D7" s="5" t="s">
        <v>2</v>
      </c>
      <c r="E7" s="5" t="s">
        <v>11</v>
      </c>
      <c r="F7" s="5" t="s">
        <v>3</v>
      </c>
      <c r="G7" s="5" t="s">
        <v>22</v>
      </c>
      <c r="H7" s="5" t="s">
        <v>4</v>
      </c>
      <c r="I7" s="5" t="s">
        <v>23</v>
      </c>
      <c r="J7" s="5" t="s">
        <v>5</v>
      </c>
      <c r="K7" s="5" t="s">
        <v>6</v>
      </c>
      <c r="L7" s="5" t="s">
        <v>1980</v>
      </c>
      <c r="M7" s="5" t="s">
        <v>7</v>
      </c>
      <c r="N7" s="5" t="s">
        <v>1982</v>
      </c>
    </row>
    <row r="8" spans="1:14" ht="98" x14ac:dyDescent="0.35">
      <c r="A8" s="9" t="s">
        <v>24</v>
      </c>
      <c r="B8" s="10" t="s">
        <v>135</v>
      </c>
      <c r="C8" s="10" t="s">
        <v>25</v>
      </c>
      <c r="D8" s="10">
        <v>5</v>
      </c>
      <c r="E8" s="10" t="s">
        <v>8</v>
      </c>
      <c r="F8" s="10" t="s">
        <v>2007</v>
      </c>
      <c r="G8" s="10" t="s">
        <v>27</v>
      </c>
      <c r="H8" s="10" t="s">
        <v>136</v>
      </c>
      <c r="I8" s="10" t="s">
        <v>28</v>
      </c>
      <c r="J8" s="10" t="s">
        <v>2006</v>
      </c>
      <c r="K8" s="10" t="s">
        <v>10</v>
      </c>
      <c r="L8" s="16" t="s">
        <v>1981</v>
      </c>
      <c r="M8" s="9" t="s">
        <v>137</v>
      </c>
      <c r="N8" s="21" t="s">
        <v>1984</v>
      </c>
    </row>
    <row r="9" spans="1:14" ht="84" x14ac:dyDescent="0.35">
      <c r="A9" s="9" t="s">
        <v>29</v>
      </c>
      <c r="B9" s="10" t="s">
        <v>135</v>
      </c>
      <c r="C9" s="10" t="s">
        <v>30</v>
      </c>
      <c r="D9" s="10">
        <v>3</v>
      </c>
      <c r="E9" s="10" t="s">
        <v>8</v>
      </c>
      <c r="F9" s="10" t="s">
        <v>2007</v>
      </c>
      <c r="G9" s="10" t="s">
        <v>31</v>
      </c>
      <c r="H9" s="10" t="s">
        <v>138</v>
      </c>
      <c r="I9" s="10" t="s">
        <v>32</v>
      </c>
      <c r="J9" s="10" t="s">
        <v>139</v>
      </c>
      <c r="K9" s="10" t="s">
        <v>10</v>
      </c>
      <c r="L9" s="17" t="s">
        <v>1983</v>
      </c>
      <c r="M9" s="9" t="s">
        <v>137</v>
      </c>
      <c r="N9" s="19"/>
    </row>
    <row r="10" spans="1:14" ht="70" x14ac:dyDescent="0.35">
      <c r="A10" s="9" t="s">
        <v>33</v>
      </c>
      <c r="B10" s="10" t="s">
        <v>135</v>
      </c>
      <c r="C10" s="10" t="s">
        <v>34</v>
      </c>
      <c r="D10" s="10">
        <v>3</v>
      </c>
      <c r="E10" s="10" t="s">
        <v>8</v>
      </c>
      <c r="F10" s="10" t="s">
        <v>2007</v>
      </c>
      <c r="G10" s="10" t="s">
        <v>35</v>
      </c>
      <c r="H10" s="10" t="s">
        <v>140</v>
      </c>
      <c r="I10" s="10" t="s">
        <v>36</v>
      </c>
      <c r="J10" s="10" t="s">
        <v>141</v>
      </c>
      <c r="K10" s="10" t="s">
        <v>10</v>
      </c>
      <c r="L10" s="17" t="s">
        <v>1983</v>
      </c>
      <c r="M10" s="9" t="s">
        <v>137</v>
      </c>
      <c r="N10" s="19"/>
    </row>
    <row r="11" spans="1:14" ht="56" x14ac:dyDescent="0.35">
      <c r="A11" s="9" t="s">
        <v>37</v>
      </c>
      <c r="B11" s="10" t="s">
        <v>135</v>
      </c>
      <c r="C11" s="10" t="s">
        <v>38</v>
      </c>
      <c r="D11" s="10">
        <v>3</v>
      </c>
      <c r="E11" s="10" t="s">
        <v>8</v>
      </c>
      <c r="F11" s="10" t="s">
        <v>2007</v>
      </c>
      <c r="G11" s="10" t="s">
        <v>31</v>
      </c>
      <c r="H11" s="10" t="s">
        <v>142</v>
      </c>
      <c r="I11" s="10" t="s">
        <v>39</v>
      </c>
      <c r="J11" s="10" t="s">
        <v>143</v>
      </c>
      <c r="K11" s="10" t="s">
        <v>10</v>
      </c>
      <c r="L11" s="17" t="s">
        <v>1983</v>
      </c>
      <c r="M11" s="9" t="s">
        <v>137</v>
      </c>
      <c r="N11" s="19"/>
    </row>
    <row r="12" spans="1:14" ht="70" x14ac:dyDescent="0.35">
      <c r="A12" s="9" t="s">
        <v>40</v>
      </c>
      <c r="B12" s="10" t="s">
        <v>135</v>
      </c>
      <c r="C12" s="10" t="s">
        <v>41</v>
      </c>
      <c r="D12" s="10">
        <v>4</v>
      </c>
      <c r="E12" s="10" t="s">
        <v>8</v>
      </c>
      <c r="F12" s="10" t="s">
        <v>2007</v>
      </c>
      <c r="G12" s="10" t="s">
        <v>31</v>
      </c>
      <c r="H12" s="10" t="s">
        <v>144</v>
      </c>
      <c r="I12" s="10" t="s">
        <v>42</v>
      </c>
      <c r="J12" s="10" t="s">
        <v>145</v>
      </c>
      <c r="K12" s="10" t="s">
        <v>10</v>
      </c>
      <c r="L12" s="16" t="s">
        <v>1981</v>
      </c>
      <c r="M12" s="9" t="s">
        <v>137</v>
      </c>
      <c r="N12" s="21" t="s">
        <v>1984</v>
      </c>
    </row>
    <row r="13" spans="1:14" ht="70" x14ac:dyDescent="0.35">
      <c r="A13" s="9" t="s">
        <v>43</v>
      </c>
      <c r="B13" s="10" t="s">
        <v>135</v>
      </c>
      <c r="C13" s="10" t="s">
        <v>44</v>
      </c>
      <c r="D13" s="10">
        <v>4</v>
      </c>
      <c r="E13" s="10" t="s">
        <v>8</v>
      </c>
      <c r="F13" s="10" t="s">
        <v>2007</v>
      </c>
      <c r="G13" s="10" t="s">
        <v>31</v>
      </c>
      <c r="H13" s="10" t="s">
        <v>146</v>
      </c>
      <c r="I13" s="10" t="s">
        <v>45</v>
      </c>
      <c r="J13" s="10" t="s">
        <v>147</v>
      </c>
      <c r="K13" s="10" t="s">
        <v>13</v>
      </c>
      <c r="L13" s="17" t="s">
        <v>1983</v>
      </c>
      <c r="M13" s="9" t="s">
        <v>137</v>
      </c>
      <c r="N13" s="19"/>
    </row>
    <row r="14" spans="1:14" ht="70" x14ac:dyDescent="0.35">
      <c r="A14" s="9" t="s">
        <v>46</v>
      </c>
      <c r="B14" s="10" t="s">
        <v>135</v>
      </c>
      <c r="C14" s="10" t="s">
        <v>47</v>
      </c>
      <c r="D14" s="10">
        <v>4</v>
      </c>
      <c r="E14" s="10" t="s">
        <v>8</v>
      </c>
      <c r="F14" s="10" t="s">
        <v>2007</v>
      </c>
      <c r="G14" s="10" t="s">
        <v>31</v>
      </c>
      <c r="H14" s="10" t="s">
        <v>148</v>
      </c>
      <c r="I14" s="10" t="s">
        <v>48</v>
      </c>
      <c r="J14" s="10" t="s">
        <v>150</v>
      </c>
      <c r="K14" s="10" t="s">
        <v>13</v>
      </c>
      <c r="L14" s="16" t="s">
        <v>1981</v>
      </c>
      <c r="M14" s="9" t="s">
        <v>137</v>
      </c>
      <c r="N14" s="21" t="s">
        <v>1984</v>
      </c>
    </row>
    <row r="15" spans="1:14" ht="70" x14ac:dyDescent="0.35">
      <c r="A15" s="9" t="s">
        <v>49</v>
      </c>
      <c r="B15" s="10" t="s">
        <v>135</v>
      </c>
      <c r="C15" s="10" t="s">
        <v>50</v>
      </c>
      <c r="D15" s="10">
        <v>2</v>
      </c>
      <c r="E15" s="10" t="s">
        <v>8</v>
      </c>
      <c r="F15" s="10" t="s">
        <v>2007</v>
      </c>
      <c r="G15" s="10" t="s">
        <v>31</v>
      </c>
      <c r="H15" s="10" t="s">
        <v>149</v>
      </c>
      <c r="I15" s="10" t="s">
        <v>51</v>
      </c>
      <c r="J15" s="10" t="s">
        <v>151</v>
      </c>
      <c r="K15" s="10" t="s">
        <v>14</v>
      </c>
      <c r="L15" s="17" t="s">
        <v>1983</v>
      </c>
      <c r="M15" s="9" t="s">
        <v>137</v>
      </c>
      <c r="N15" s="19"/>
    </row>
    <row r="16" spans="1:14" ht="70" x14ac:dyDescent="0.35">
      <c r="A16" s="9" t="s">
        <v>52</v>
      </c>
      <c r="B16" s="10" t="s">
        <v>135</v>
      </c>
      <c r="C16" s="10" t="s">
        <v>53</v>
      </c>
      <c r="D16" s="10">
        <v>2</v>
      </c>
      <c r="E16" s="10" t="s">
        <v>8</v>
      </c>
      <c r="F16" s="10" t="s">
        <v>2007</v>
      </c>
      <c r="G16" s="10" t="s">
        <v>31</v>
      </c>
      <c r="H16" s="10" t="s">
        <v>152</v>
      </c>
      <c r="I16" s="10" t="s">
        <v>54</v>
      </c>
      <c r="J16" s="10" t="s">
        <v>153</v>
      </c>
      <c r="K16" s="10" t="s">
        <v>14</v>
      </c>
      <c r="L16" s="17" t="s">
        <v>1983</v>
      </c>
      <c r="M16" s="9" t="s">
        <v>137</v>
      </c>
      <c r="N16" s="19"/>
    </row>
    <row r="17" spans="1:14" ht="56" x14ac:dyDescent="0.35">
      <c r="A17" s="9" t="s">
        <v>55</v>
      </c>
      <c r="B17" s="10" t="s">
        <v>135</v>
      </c>
      <c r="C17" s="10" t="s">
        <v>56</v>
      </c>
      <c r="D17" s="10">
        <v>3</v>
      </c>
      <c r="E17" s="10" t="s">
        <v>8</v>
      </c>
      <c r="F17" s="10" t="s">
        <v>2007</v>
      </c>
      <c r="G17" s="10" t="s">
        <v>58</v>
      </c>
      <c r="H17" s="10" t="s">
        <v>154</v>
      </c>
      <c r="I17" s="10" t="s">
        <v>59</v>
      </c>
      <c r="J17" s="10" t="s">
        <v>155</v>
      </c>
      <c r="K17" s="10" t="s">
        <v>10</v>
      </c>
      <c r="L17" s="17" t="s">
        <v>1983</v>
      </c>
      <c r="M17" s="9" t="s">
        <v>137</v>
      </c>
      <c r="N17" s="19"/>
    </row>
    <row r="18" spans="1:14" ht="42" x14ac:dyDescent="0.35">
      <c r="A18" s="9" t="s">
        <v>60</v>
      </c>
      <c r="B18" s="10" t="s">
        <v>135</v>
      </c>
      <c r="C18" s="10" t="s">
        <v>61</v>
      </c>
      <c r="D18" s="10">
        <v>3</v>
      </c>
      <c r="E18" s="10" t="s">
        <v>8</v>
      </c>
      <c r="F18" s="10" t="s">
        <v>2007</v>
      </c>
      <c r="G18" s="10" t="s">
        <v>62</v>
      </c>
      <c r="H18" s="10" t="s">
        <v>156</v>
      </c>
      <c r="I18" s="10" t="s">
        <v>63</v>
      </c>
      <c r="J18" s="10" t="s">
        <v>157</v>
      </c>
      <c r="K18" s="10" t="s">
        <v>13</v>
      </c>
      <c r="L18" s="17" t="s">
        <v>1983</v>
      </c>
      <c r="M18" s="9" t="s">
        <v>137</v>
      </c>
      <c r="N18" s="19"/>
    </row>
    <row r="19" spans="1:14" ht="42" x14ac:dyDescent="0.35">
      <c r="A19" s="9" t="s">
        <v>64</v>
      </c>
      <c r="B19" s="10" t="s">
        <v>135</v>
      </c>
      <c r="C19" s="10" t="s">
        <v>65</v>
      </c>
      <c r="D19" s="10">
        <v>3</v>
      </c>
      <c r="E19" s="10" t="s">
        <v>8</v>
      </c>
      <c r="F19" s="10" t="s">
        <v>2007</v>
      </c>
      <c r="G19" s="10" t="s">
        <v>66</v>
      </c>
      <c r="H19" s="10" t="s">
        <v>158</v>
      </c>
      <c r="I19" s="10" t="s">
        <v>67</v>
      </c>
      <c r="J19" s="10" t="s">
        <v>159</v>
      </c>
      <c r="K19" s="10" t="s">
        <v>10</v>
      </c>
      <c r="L19" s="17" t="s">
        <v>1983</v>
      </c>
      <c r="M19" s="9" t="s">
        <v>137</v>
      </c>
      <c r="N19" s="19"/>
    </row>
    <row r="20" spans="1:14" ht="42" x14ac:dyDescent="0.35">
      <c r="A20" s="9" t="s">
        <v>68</v>
      </c>
      <c r="B20" s="10" t="s">
        <v>135</v>
      </c>
      <c r="C20" s="10" t="s">
        <v>69</v>
      </c>
      <c r="D20" s="10">
        <v>3</v>
      </c>
      <c r="E20" s="10" t="s">
        <v>8</v>
      </c>
      <c r="F20" s="10" t="s">
        <v>2007</v>
      </c>
      <c r="G20" s="10" t="s">
        <v>70</v>
      </c>
      <c r="H20" s="10" t="s">
        <v>160</v>
      </c>
      <c r="I20" s="10" t="s">
        <v>71</v>
      </c>
      <c r="J20" s="10" t="s">
        <v>161</v>
      </c>
      <c r="K20" s="10" t="s">
        <v>13</v>
      </c>
      <c r="L20" s="17" t="s">
        <v>1983</v>
      </c>
      <c r="M20" s="9" t="s">
        <v>137</v>
      </c>
      <c r="N20" s="19"/>
    </row>
    <row r="21" spans="1:14" ht="42" x14ac:dyDescent="0.35">
      <c r="A21" s="9" t="s">
        <v>72</v>
      </c>
      <c r="B21" s="10" t="s">
        <v>135</v>
      </c>
      <c r="C21" s="10" t="s">
        <v>73</v>
      </c>
      <c r="D21" s="10">
        <v>3</v>
      </c>
      <c r="E21" s="10" t="s">
        <v>8</v>
      </c>
      <c r="F21" s="10" t="s">
        <v>2007</v>
      </c>
      <c r="G21" s="10" t="s">
        <v>74</v>
      </c>
      <c r="H21" s="10" t="s">
        <v>162</v>
      </c>
      <c r="I21" s="10" t="s">
        <v>75</v>
      </c>
      <c r="J21" s="10" t="s">
        <v>163</v>
      </c>
      <c r="K21" s="10" t="s">
        <v>14</v>
      </c>
      <c r="L21" s="17" t="s">
        <v>1983</v>
      </c>
      <c r="M21" s="9" t="s">
        <v>137</v>
      </c>
      <c r="N21" s="19"/>
    </row>
    <row r="22" spans="1:14" ht="42" x14ac:dyDescent="0.35">
      <c r="A22" s="9" t="s">
        <v>76</v>
      </c>
      <c r="B22" s="10" t="s">
        <v>135</v>
      </c>
      <c r="C22" s="10" t="s">
        <v>77</v>
      </c>
      <c r="D22" s="10">
        <v>2</v>
      </c>
      <c r="E22" s="10" t="s">
        <v>8</v>
      </c>
      <c r="F22" s="10" t="s">
        <v>2007</v>
      </c>
      <c r="G22" s="10" t="s">
        <v>78</v>
      </c>
      <c r="H22" s="10" t="s">
        <v>164</v>
      </c>
      <c r="I22" s="10" t="s">
        <v>54</v>
      </c>
      <c r="J22" s="10" t="s">
        <v>165</v>
      </c>
      <c r="K22" s="10" t="s">
        <v>14</v>
      </c>
      <c r="L22" s="17" t="s">
        <v>1983</v>
      </c>
      <c r="M22" s="9" t="s">
        <v>137</v>
      </c>
      <c r="N22" s="19"/>
    </row>
    <row r="23" spans="1:14" ht="42" x14ac:dyDescent="0.35">
      <c r="A23" s="9" t="s">
        <v>79</v>
      </c>
      <c r="B23" s="10" t="s">
        <v>135</v>
      </c>
      <c r="C23" s="10" t="s">
        <v>80</v>
      </c>
      <c r="D23" s="10">
        <v>2</v>
      </c>
      <c r="E23" s="10" t="s">
        <v>8</v>
      </c>
      <c r="F23" s="10" t="s">
        <v>2007</v>
      </c>
      <c r="G23" s="10" t="s">
        <v>62</v>
      </c>
      <c r="H23" s="10" t="s">
        <v>166</v>
      </c>
      <c r="I23" s="10" t="s">
        <v>59</v>
      </c>
      <c r="J23" s="10" t="s">
        <v>161</v>
      </c>
      <c r="K23" s="10" t="s">
        <v>14</v>
      </c>
      <c r="L23" s="17" t="s">
        <v>1983</v>
      </c>
      <c r="M23" s="9" t="s">
        <v>137</v>
      </c>
      <c r="N23" s="19"/>
    </row>
    <row r="24" spans="1:14" ht="42" x14ac:dyDescent="0.35">
      <c r="A24" s="9" t="s">
        <v>81</v>
      </c>
      <c r="B24" s="10" t="s">
        <v>135</v>
      </c>
      <c r="C24" s="10" t="s">
        <v>82</v>
      </c>
      <c r="D24" s="10">
        <v>3</v>
      </c>
      <c r="E24" s="10" t="s">
        <v>8</v>
      </c>
      <c r="F24" s="10" t="s">
        <v>2007</v>
      </c>
      <c r="G24" s="10" t="s">
        <v>83</v>
      </c>
      <c r="H24" s="10" t="s">
        <v>167</v>
      </c>
      <c r="I24" s="10" t="s">
        <v>84</v>
      </c>
      <c r="J24" s="10" t="s">
        <v>168</v>
      </c>
      <c r="K24" s="10" t="s">
        <v>13</v>
      </c>
      <c r="L24" s="17" t="s">
        <v>1983</v>
      </c>
      <c r="M24" s="9" t="s">
        <v>137</v>
      </c>
      <c r="N24" s="19"/>
    </row>
    <row r="25" spans="1:14" ht="56" x14ac:dyDescent="0.35">
      <c r="A25" s="9" t="s">
        <v>85</v>
      </c>
      <c r="B25" s="10" t="s">
        <v>135</v>
      </c>
      <c r="C25" s="10" t="s">
        <v>86</v>
      </c>
      <c r="D25" s="10">
        <v>5</v>
      </c>
      <c r="E25" s="10" t="s">
        <v>19</v>
      </c>
      <c r="F25" s="10" t="s">
        <v>2007</v>
      </c>
      <c r="G25" s="10" t="s">
        <v>87</v>
      </c>
      <c r="H25" s="10" t="s">
        <v>1614</v>
      </c>
      <c r="I25" s="12" t="s">
        <v>88</v>
      </c>
      <c r="J25" s="10" t="s">
        <v>169</v>
      </c>
      <c r="K25" s="10" t="s">
        <v>10</v>
      </c>
      <c r="L25" s="22" t="s">
        <v>1985</v>
      </c>
      <c r="M25" s="9" t="s">
        <v>137</v>
      </c>
      <c r="N25" s="22" t="s">
        <v>1986</v>
      </c>
    </row>
    <row r="26" spans="1:14" ht="56" x14ac:dyDescent="0.35">
      <c r="A26" s="9" t="s">
        <v>89</v>
      </c>
      <c r="B26" s="10" t="s">
        <v>135</v>
      </c>
      <c r="C26" s="10" t="s">
        <v>90</v>
      </c>
      <c r="D26" s="10">
        <v>5</v>
      </c>
      <c r="E26" s="10" t="s">
        <v>91</v>
      </c>
      <c r="F26" s="10" t="s">
        <v>2007</v>
      </c>
      <c r="G26" s="10" t="s">
        <v>62</v>
      </c>
      <c r="H26" s="10" t="s">
        <v>170</v>
      </c>
      <c r="I26" s="10" t="s">
        <v>92</v>
      </c>
      <c r="J26" s="10" t="s">
        <v>171</v>
      </c>
      <c r="K26" s="10" t="s">
        <v>13</v>
      </c>
      <c r="L26" s="22" t="s">
        <v>1985</v>
      </c>
      <c r="M26" s="9" t="s">
        <v>137</v>
      </c>
      <c r="N26" s="22" t="s">
        <v>1986</v>
      </c>
    </row>
    <row r="27" spans="1:14" ht="42" x14ac:dyDescent="0.35">
      <c r="A27" s="9" t="s">
        <v>93</v>
      </c>
      <c r="B27" s="10" t="s">
        <v>135</v>
      </c>
      <c r="C27" s="10" t="s">
        <v>94</v>
      </c>
      <c r="D27" s="10">
        <v>4</v>
      </c>
      <c r="E27" s="10" t="s">
        <v>8</v>
      </c>
      <c r="F27" s="10" t="s">
        <v>2007</v>
      </c>
      <c r="G27" s="10" t="s">
        <v>95</v>
      </c>
      <c r="H27" s="10" t="s">
        <v>160</v>
      </c>
      <c r="I27" s="10" t="s">
        <v>71</v>
      </c>
      <c r="J27" s="10" t="s">
        <v>172</v>
      </c>
      <c r="K27" s="10" t="s">
        <v>13</v>
      </c>
      <c r="L27" s="17" t="s">
        <v>1983</v>
      </c>
      <c r="M27" s="9" t="s">
        <v>137</v>
      </c>
      <c r="N27" s="19"/>
    </row>
    <row r="28" spans="1:14" ht="70" x14ac:dyDescent="0.35">
      <c r="A28" s="9" t="s">
        <v>96</v>
      </c>
      <c r="B28" s="10" t="s">
        <v>135</v>
      </c>
      <c r="C28" s="10" t="s">
        <v>173</v>
      </c>
      <c r="D28" s="10">
        <v>5</v>
      </c>
      <c r="E28" s="10" t="s">
        <v>8</v>
      </c>
      <c r="F28" s="10" t="s">
        <v>2007</v>
      </c>
      <c r="G28" s="10" t="s">
        <v>58</v>
      </c>
      <c r="H28" s="10" t="s">
        <v>233</v>
      </c>
      <c r="I28" s="10" t="s">
        <v>175</v>
      </c>
      <c r="J28" s="10" t="s">
        <v>234</v>
      </c>
      <c r="K28" s="10" t="s">
        <v>10</v>
      </c>
      <c r="L28" s="17" t="s">
        <v>1983</v>
      </c>
      <c r="M28" s="9" t="s">
        <v>137</v>
      </c>
      <c r="N28" s="19"/>
    </row>
    <row r="29" spans="1:14" ht="42" x14ac:dyDescent="0.35">
      <c r="A29" s="9" t="s">
        <v>97</v>
      </c>
      <c r="B29" s="10" t="s">
        <v>135</v>
      </c>
      <c r="C29" s="10" t="s">
        <v>176</v>
      </c>
      <c r="D29" s="10">
        <v>3</v>
      </c>
      <c r="E29" s="10" t="s">
        <v>8</v>
      </c>
      <c r="F29" s="10" t="s">
        <v>2007</v>
      </c>
      <c r="G29" s="10" t="s">
        <v>177</v>
      </c>
      <c r="H29" s="10" t="s">
        <v>235</v>
      </c>
      <c r="I29" s="10" t="s">
        <v>178</v>
      </c>
      <c r="J29" s="10" t="s">
        <v>236</v>
      </c>
      <c r="K29" s="10" t="s">
        <v>10</v>
      </c>
      <c r="L29" s="17" t="s">
        <v>1983</v>
      </c>
      <c r="M29" s="9" t="s">
        <v>137</v>
      </c>
      <c r="N29" s="19"/>
    </row>
    <row r="30" spans="1:14" ht="42" x14ac:dyDescent="0.35">
      <c r="A30" s="9" t="s">
        <v>98</v>
      </c>
      <c r="B30" s="10" t="s">
        <v>135</v>
      </c>
      <c r="C30" s="10" t="s">
        <v>179</v>
      </c>
      <c r="D30" s="10">
        <v>4</v>
      </c>
      <c r="E30" s="10" t="s">
        <v>8</v>
      </c>
      <c r="F30" s="10" t="s">
        <v>2007</v>
      </c>
      <c r="G30" s="10" t="s">
        <v>180</v>
      </c>
      <c r="H30" s="10" t="s">
        <v>237</v>
      </c>
      <c r="I30" s="10" t="s">
        <v>181</v>
      </c>
      <c r="J30" s="10" t="s">
        <v>238</v>
      </c>
      <c r="K30" s="10" t="s">
        <v>13</v>
      </c>
      <c r="L30" s="17" t="s">
        <v>1983</v>
      </c>
      <c r="M30" s="9" t="s">
        <v>137</v>
      </c>
      <c r="N30" s="19"/>
    </row>
    <row r="31" spans="1:14" ht="42" x14ac:dyDescent="0.35">
      <c r="A31" s="9" t="s">
        <v>99</v>
      </c>
      <c r="B31" s="10" t="s">
        <v>135</v>
      </c>
      <c r="C31" s="10" t="s">
        <v>182</v>
      </c>
      <c r="D31" s="10">
        <v>4</v>
      </c>
      <c r="E31" s="10" t="s">
        <v>8</v>
      </c>
      <c r="F31" s="10" t="s">
        <v>2007</v>
      </c>
      <c r="G31" s="10" t="s">
        <v>183</v>
      </c>
      <c r="H31" s="10" t="s">
        <v>239</v>
      </c>
      <c r="I31" s="10" t="s">
        <v>184</v>
      </c>
      <c r="J31" s="10" t="s">
        <v>240</v>
      </c>
      <c r="K31" s="10" t="s">
        <v>10</v>
      </c>
      <c r="L31" s="17" t="s">
        <v>1983</v>
      </c>
      <c r="M31" s="9" t="s">
        <v>137</v>
      </c>
      <c r="N31" s="19"/>
    </row>
    <row r="32" spans="1:14" ht="42" x14ac:dyDescent="0.35">
      <c r="A32" s="9" t="s">
        <v>100</v>
      </c>
      <c r="B32" s="10" t="s">
        <v>135</v>
      </c>
      <c r="C32" s="10" t="s">
        <v>185</v>
      </c>
      <c r="D32" s="10">
        <v>4</v>
      </c>
      <c r="E32" s="10" t="s">
        <v>8</v>
      </c>
      <c r="F32" s="10" t="s">
        <v>2007</v>
      </c>
      <c r="G32" s="10" t="s">
        <v>186</v>
      </c>
      <c r="H32" s="10" t="s">
        <v>241</v>
      </c>
      <c r="I32" s="10" t="s">
        <v>187</v>
      </c>
      <c r="J32" s="10" t="s">
        <v>242</v>
      </c>
      <c r="K32" s="10" t="s">
        <v>10</v>
      </c>
      <c r="L32" s="17" t="s">
        <v>1983</v>
      </c>
      <c r="M32" s="9" t="s">
        <v>137</v>
      </c>
      <c r="N32" s="19"/>
    </row>
    <row r="33" spans="1:14" ht="42" x14ac:dyDescent="0.35">
      <c r="A33" s="9" t="s">
        <v>101</v>
      </c>
      <c r="B33" s="10" t="s">
        <v>135</v>
      </c>
      <c r="C33" s="10" t="s">
        <v>188</v>
      </c>
      <c r="D33" s="10">
        <v>3</v>
      </c>
      <c r="E33" s="10" t="s">
        <v>8</v>
      </c>
      <c r="F33" s="10" t="s">
        <v>2007</v>
      </c>
      <c r="G33" s="10" t="s">
        <v>189</v>
      </c>
      <c r="H33" s="10" t="s">
        <v>243</v>
      </c>
      <c r="I33" s="10" t="s">
        <v>190</v>
      </c>
      <c r="J33" s="10" t="s">
        <v>244</v>
      </c>
      <c r="K33" s="10" t="s">
        <v>13</v>
      </c>
      <c r="L33" s="17" t="s">
        <v>1983</v>
      </c>
      <c r="M33" s="9" t="s">
        <v>137</v>
      </c>
      <c r="N33" s="19"/>
    </row>
    <row r="34" spans="1:14" ht="70" x14ac:dyDescent="0.35">
      <c r="A34" s="9" t="s">
        <v>102</v>
      </c>
      <c r="B34" s="10" t="s">
        <v>135</v>
      </c>
      <c r="C34" s="10" t="s">
        <v>191</v>
      </c>
      <c r="D34" s="10">
        <v>4</v>
      </c>
      <c r="E34" s="10" t="s">
        <v>8</v>
      </c>
      <c r="F34" s="10" t="s">
        <v>2007</v>
      </c>
      <c r="G34" s="10" t="s">
        <v>192</v>
      </c>
      <c r="H34" s="10" t="s">
        <v>245</v>
      </c>
      <c r="I34" s="10" t="s">
        <v>193</v>
      </c>
      <c r="J34" s="10" t="s">
        <v>147</v>
      </c>
      <c r="K34" s="10" t="s">
        <v>13</v>
      </c>
      <c r="L34" s="17" t="s">
        <v>1983</v>
      </c>
      <c r="M34" s="9" t="s">
        <v>137</v>
      </c>
      <c r="N34" s="19"/>
    </row>
    <row r="35" spans="1:14" ht="56" x14ac:dyDescent="0.35">
      <c r="A35" s="9" t="s">
        <v>103</v>
      </c>
      <c r="B35" s="10" t="s">
        <v>135</v>
      </c>
      <c r="C35" s="10" t="s">
        <v>194</v>
      </c>
      <c r="D35" s="10">
        <v>3</v>
      </c>
      <c r="E35" s="10" t="s">
        <v>8</v>
      </c>
      <c r="F35" s="10" t="s">
        <v>2007</v>
      </c>
      <c r="G35" s="10" t="s">
        <v>195</v>
      </c>
      <c r="H35" s="10" t="s">
        <v>246</v>
      </c>
      <c r="I35" s="10" t="s">
        <v>196</v>
      </c>
      <c r="J35" s="10" t="s">
        <v>247</v>
      </c>
      <c r="K35" s="10" t="s">
        <v>14</v>
      </c>
      <c r="L35" s="17" t="s">
        <v>1983</v>
      </c>
      <c r="M35" s="9" t="s">
        <v>137</v>
      </c>
      <c r="N35" s="19"/>
    </row>
    <row r="36" spans="1:14" ht="42" x14ac:dyDescent="0.35">
      <c r="A36" s="9" t="s">
        <v>104</v>
      </c>
      <c r="B36" s="10" t="s">
        <v>135</v>
      </c>
      <c r="C36" s="10" t="s">
        <v>197</v>
      </c>
      <c r="D36" s="10">
        <v>2</v>
      </c>
      <c r="E36" s="10" t="s">
        <v>8</v>
      </c>
      <c r="F36" s="10" t="s">
        <v>2007</v>
      </c>
      <c r="G36" s="10" t="s">
        <v>198</v>
      </c>
      <c r="H36" s="10" t="s">
        <v>248</v>
      </c>
      <c r="I36" s="10" t="s">
        <v>54</v>
      </c>
      <c r="J36" s="10" t="s">
        <v>249</v>
      </c>
      <c r="K36" s="10" t="s">
        <v>14</v>
      </c>
      <c r="L36" s="17" t="s">
        <v>1983</v>
      </c>
      <c r="M36" s="9" t="s">
        <v>137</v>
      </c>
      <c r="N36" s="19"/>
    </row>
    <row r="37" spans="1:14" ht="42" x14ac:dyDescent="0.35">
      <c r="A37" s="9" t="s">
        <v>105</v>
      </c>
      <c r="B37" s="10" t="s">
        <v>135</v>
      </c>
      <c r="C37" s="10" t="s">
        <v>199</v>
      </c>
      <c r="D37" s="10">
        <v>6</v>
      </c>
      <c r="E37" s="10" t="s">
        <v>200</v>
      </c>
      <c r="F37" s="10" t="s">
        <v>2007</v>
      </c>
      <c r="G37" s="10" t="s">
        <v>201</v>
      </c>
      <c r="H37" s="10" t="s">
        <v>250</v>
      </c>
      <c r="I37" s="10" t="s">
        <v>202</v>
      </c>
      <c r="J37" s="10" t="s">
        <v>251</v>
      </c>
      <c r="K37" s="10" t="s">
        <v>10</v>
      </c>
      <c r="L37" s="17" t="s">
        <v>1983</v>
      </c>
      <c r="M37" s="9" t="s">
        <v>137</v>
      </c>
      <c r="N37" s="19"/>
    </row>
    <row r="38" spans="1:14" ht="42" x14ac:dyDescent="0.35">
      <c r="A38" s="9" t="s">
        <v>106</v>
      </c>
      <c r="B38" s="10" t="s">
        <v>135</v>
      </c>
      <c r="C38" s="10" t="s">
        <v>203</v>
      </c>
      <c r="D38" s="10">
        <v>4</v>
      </c>
      <c r="E38" s="10" t="s">
        <v>8</v>
      </c>
      <c r="F38" s="10" t="s">
        <v>2007</v>
      </c>
      <c r="G38" s="10" t="s">
        <v>205</v>
      </c>
      <c r="H38" s="10" t="s">
        <v>252</v>
      </c>
      <c r="I38" s="10" t="s">
        <v>206</v>
      </c>
      <c r="J38" s="10" t="s">
        <v>253</v>
      </c>
      <c r="K38" s="10" t="s">
        <v>10</v>
      </c>
      <c r="L38" s="17" t="s">
        <v>1983</v>
      </c>
      <c r="M38" s="9" t="s">
        <v>137</v>
      </c>
      <c r="N38" s="19"/>
    </row>
    <row r="39" spans="1:14" ht="42" x14ac:dyDescent="0.35">
      <c r="A39" s="9" t="s">
        <v>107</v>
      </c>
      <c r="B39" s="10" t="s">
        <v>135</v>
      </c>
      <c r="C39" s="10" t="s">
        <v>207</v>
      </c>
      <c r="D39" s="10">
        <v>2</v>
      </c>
      <c r="E39" s="10" t="s">
        <v>8</v>
      </c>
      <c r="F39" s="10" t="s">
        <v>2007</v>
      </c>
      <c r="G39" s="10" t="s">
        <v>208</v>
      </c>
      <c r="H39" s="10" t="s">
        <v>254</v>
      </c>
      <c r="I39" s="10" t="s">
        <v>54</v>
      </c>
      <c r="J39" s="10" t="s">
        <v>255</v>
      </c>
      <c r="K39" s="10" t="s">
        <v>14</v>
      </c>
      <c r="L39" s="17" t="s">
        <v>1983</v>
      </c>
      <c r="M39" s="9" t="s">
        <v>137</v>
      </c>
      <c r="N39" s="19"/>
    </row>
    <row r="40" spans="1:14" ht="42" x14ac:dyDescent="0.35">
      <c r="A40" s="9" t="s">
        <v>108</v>
      </c>
      <c r="B40" s="10" t="s">
        <v>135</v>
      </c>
      <c r="C40" s="10" t="s">
        <v>209</v>
      </c>
      <c r="D40" s="10">
        <v>5</v>
      </c>
      <c r="E40" s="10" t="s">
        <v>8</v>
      </c>
      <c r="F40" s="10" t="s">
        <v>2007</v>
      </c>
      <c r="G40" s="10" t="s">
        <v>210</v>
      </c>
      <c r="H40" s="10" t="s">
        <v>256</v>
      </c>
      <c r="I40" s="10" t="s">
        <v>211</v>
      </c>
      <c r="J40" s="10" t="s">
        <v>257</v>
      </c>
      <c r="K40" s="10" t="s">
        <v>10</v>
      </c>
      <c r="L40" s="17" t="s">
        <v>1983</v>
      </c>
      <c r="M40" s="9" t="s">
        <v>137</v>
      </c>
      <c r="N40" s="19"/>
    </row>
    <row r="41" spans="1:14" ht="56" x14ac:dyDescent="0.35">
      <c r="A41" s="9" t="s">
        <v>109</v>
      </c>
      <c r="B41" s="10" t="s">
        <v>135</v>
      </c>
      <c r="C41" s="10" t="s">
        <v>212</v>
      </c>
      <c r="D41" s="10">
        <v>3</v>
      </c>
      <c r="E41" s="10" t="s">
        <v>8</v>
      </c>
      <c r="F41" s="10" t="s">
        <v>2007</v>
      </c>
      <c r="G41" s="10" t="s">
        <v>213</v>
      </c>
      <c r="H41" s="10" t="s">
        <v>258</v>
      </c>
      <c r="I41" s="10" t="s">
        <v>214</v>
      </c>
      <c r="J41" s="10" t="s">
        <v>259</v>
      </c>
      <c r="K41" s="10" t="s">
        <v>13</v>
      </c>
      <c r="L41" s="17" t="s">
        <v>1983</v>
      </c>
      <c r="M41" s="9" t="s">
        <v>137</v>
      </c>
      <c r="N41" s="19"/>
    </row>
    <row r="42" spans="1:14" ht="42" x14ac:dyDescent="0.35">
      <c r="A42" s="9" t="s">
        <v>110</v>
      </c>
      <c r="B42" s="10" t="s">
        <v>135</v>
      </c>
      <c r="C42" s="10" t="s">
        <v>215</v>
      </c>
      <c r="D42" s="10">
        <v>6</v>
      </c>
      <c r="E42" s="10" t="s">
        <v>200</v>
      </c>
      <c r="F42" s="10" t="s">
        <v>2007</v>
      </c>
      <c r="G42" s="10" t="s">
        <v>216</v>
      </c>
      <c r="H42" s="10" t="s">
        <v>260</v>
      </c>
      <c r="I42" s="10" t="s">
        <v>217</v>
      </c>
      <c r="J42" s="10" t="s">
        <v>261</v>
      </c>
      <c r="K42" s="10" t="s">
        <v>13</v>
      </c>
      <c r="L42" s="17" t="s">
        <v>1983</v>
      </c>
      <c r="M42" s="9" t="s">
        <v>137</v>
      </c>
      <c r="N42" s="19"/>
    </row>
    <row r="43" spans="1:14" ht="56" x14ac:dyDescent="0.35">
      <c r="A43" s="9" t="s">
        <v>111</v>
      </c>
      <c r="B43" s="10" t="s">
        <v>135</v>
      </c>
      <c r="C43" s="10" t="s">
        <v>218</v>
      </c>
      <c r="D43" s="10">
        <v>6</v>
      </c>
      <c r="E43" s="10" t="s">
        <v>20</v>
      </c>
      <c r="F43" s="10" t="s">
        <v>2007</v>
      </c>
      <c r="G43" s="10" t="s">
        <v>219</v>
      </c>
      <c r="H43" s="10" t="s">
        <v>262</v>
      </c>
      <c r="I43" s="10" t="s">
        <v>220</v>
      </c>
      <c r="J43" s="10" t="s">
        <v>263</v>
      </c>
      <c r="K43" s="10" t="s">
        <v>10</v>
      </c>
      <c r="L43" s="17" t="s">
        <v>1983</v>
      </c>
      <c r="M43" s="9" t="s">
        <v>137</v>
      </c>
      <c r="N43" s="17" t="s">
        <v>1987</v>
      </c>
    </row>
    <row r="44" spans="1:14" ht="42" x14ac:dyDescent="0.35">
      <c r="A44" s="9" t="s">
        <v>112</v>
      </c>
      <c r="B44" s="10" t="s">
        <v>135</v>
      </c>
      <c r="C44" s="10" t="s">
        <v>221</v>
      </c>
      <c r="D44" s="10">
        <v>4</v>
      </c>
      <c r="E44" s="10" t="s">
        <v>200</v>
      </c>
      <c r="F44" s="10" t="s">
        <v>2007</v>
      </c>
      <c r="G44" s="10" t="s">
        <v>222</v>
      </c>
      <c r="H44" s="10" t="s">
        <v>262</v>
      </c>
      <c r="I44" s="10" t="s">
        <v>223</v>
      </c>
      <c r="J44" s="10" t="s">
        <v>264</v>
      </c>
      <c r="K44" s="10" t="s">
        <v>13</v>
      </c>
      <c r="L44" s="17" t="s">
        <v>1983</v>
      </c>
      <c r="M44" s="9" t="s">
        <v>137</v>
      </c>
      <c r="N44" s="19"/>
    </row>
    <row r="45" spans="1:14" ht="42" x14ac:dyDescent="0.35">
      <c r="A45" s="9" t="s">
        <v>113</v>
      </c>
      <c r="B45" s="10" t="s">
        <v>135</v>
      </c>
      <c r="C45" s="10" t="s">
        <v>224</v>
      </c>
      <c r="D45" s="10">
        <v>5</v>
      </c>
      <c r="E45" s="10" t="s">
        <v>8</v>
      </c>
      <c r="F45" s="10" t="s">
        <v>2007</v>
      </c>
      <c r="G45" s="10" t="s">
        <v>225</v>
      </c>
      <c r="H45" s="10" t="s">
        <v>265</v>
      </c>
      <c r="I45" s="10" t="s">
        <v>226</v>
      </c>
      <c r="J45" s="10" t="s">
        <v>266</v>
      </c>
      <c r="K45" s="10" t="s">
        <v>13</v>
      </c>
      <c r="L45" s="17" t="s">
        <v>1983</v>
      </c>
      <c r="M45" s="9" t="s">
        <v>137</v>
      </c>
      <c r="N45" s="19"/>
    </row>
    <row r="46" spans="1:14" ht="42" x14ac:dyDescent="0.35">
      <c r="A46" s="9" t="s">
        <v>114</v>
      </c>
      <c r="B46" s="10" t="s">
        <v>135</v>
      </c>
      <c r="C46" s="10" t="s">
        <v>227</v>
      </c>
      <c r="D46" s="10">
        <v>5</v>
      </c>
      <c r="E46" s="10" t="s">
        <v>19</v>
      </c>
      <c r="F46" s="10" t="s">
        <v>2007</v>
      </c>
      <c r="G46" s="10" t="s">
        <v>228</v>
      </c>
      <c r="H46" s="10" t="s">
        <v>268</v>
      </c>
      <c r="I46" s="10" t="s">
        <v>229</v>
      </c>
      <c r="J46" s="10" t="s">
        <v>267</v>
      </c>
      <c r="K46" s="10" t="s">
        <v>10</v>
      </c>
      <c r="L46" s="22" t="s">
        <v>1985</v>
      </c>
      <c r="M46" s="9" t="s">
        <v>137</v>
      </c>
      <c r="N46" s="22" t="s">
        <v>1988</v>
      </c>
    </row>
    <row r="47" spans="1:14" ht="42" x14ac:dyDescent="0.35">
      <c r="A47" s="9" t="s">
        <v>115</v>
      </c>
      <c r="B47" s="10" t="s">
        <v>135</v>
      </c>
      <c r="C47" s="10" t="s">
        <v>230</v>
      </c>
      <c r="D47" s="10">
        <v>4</v>
      </c>
      <c r="E47" s="10" t="s">
        <v>91</v>
      </c>
      <c r="F47" s="10" t="s">
        <v>2007</v>
      </c>
      <c r="G47" s="10" t="s">
        <v>231</v>
      </c>
      <c r="H47" s="10" t="s">
        <v>269</v>
      </c>
      <c r="I47" s="10" t="s">
        <v>232</v>
      </c>
      <c r="J47" s="10" t="s">
        <v>2008</v>
      </c>
      <c r="K47" s="10" t="s">
        <v>13</v>
      </c>
      <c r="L47" s="17" t="s">
        <v>1983</v>
      </c>
      <c r="M47" s="9" t="s">
        <v>137</v>
      </c>
      <c r="N47" s="19"/>
    </row>
    <row r="48" spans="1:14" ht="56" x14ac:dyDescent="0.35">
      <c r="A48" s="9" t="s">
        <v>116</v>
      </c>
      <c r="B48" s="10" t="s">
        <v>135</v>
      </c>
      <c r="C48" s="10" t="s">
        <v>270</v>
      </c>
      <c r="D48" s="10">
        <v>4</v>
      </c>
      <c r="E48" s="10" t="s">
        <v>8</v>
      </c>
      <c r="F48" s="10" t="s">
        <v>271</v>
      </c>
      <c r="G48" s="10" t="s">
        <v>272</v>
      </c>
      <c r="H48" s="10" t="s">
        <v>364</v>
      </c>
      <c r="I48" s="10" t="s">
        <v>273</v>
      </c>
      <c r="J48" s="10" t="s">
        <v>365</v>
      </c>
      <c r="K48" s="10" t="s">
        <v>10</v>
      </c>
      <c r="L48" s="17" t="s">
        <v>1983</v>
      </c>
      <c r="M48" s="15" t="s">
        <v>137</v>
      </c>
      <c r="N48" s="19"/>
    </row>
    <row r="49" spans="1:14" ht="70" x14ac:dyDescent="0.35">
      <c r="A49" s="9" t="s">
        <v>117</v>
      </c>
      <c r="B49" s="10" t="s">
        <v>135</v>
      </c>
      <c r="C49" s="10" t="s">
        <v>274</v>
      </c>
      <c r="D49" s="10">
        <v>4</v>
      </c>
      <c r="E49" s="10" t="s">
        <v>19</v>
      </c>
      <c r="F49" s="10" t="s">
        <v>271</v>
      </c>
      <c r="G49" s="10" t="s">
        <v>275</v>
      </c>
      <c r="H49" s="10" t="s">
        <v>366</v>
      </c>
      <c r="I49" s="10" t="s">
        <v>54</v>
      </c>
      <c r="J49" s="10" t="s">
        <v>367</v>
      </c>
      <c r="K49" s="10" t="s">
        <v>10</v>
      </c>
      <c r="L49" s="22" t="s">
        <v>1985</v>
      </c>
      <c r="M49" s="15" t="s">
        <v>137</v>
      </c>
      <c r="N49" s="22" t="s">
        <v>1988</v>
      </c>
    </row>
    <row r="50" spans="1:14" ht="56" x14ac:dyDescent="0.35">
      <c r="A50" s="9" t="s">
        <v>118</v>
      </c>
      <c r="B50" s="10" t="s">
        <v>135</v>
      </c>
      <c r="C50" s="10" t="s">
        <v>276</v>
      </c>
      <c r="D50" s="10">
        <v>4</v>
      </c>
      <c r="E50" s="10" t="s">
        <v>19</v>
      </c>
      <c r="F50" s="10" t="s">
        <v>271</v>
      </c>
      <c r="G50" s="10" t="s">
        <v>277</v>
      </c>
      <c r="H50" s="10" t="s">
        <v>369</v>
      </c>
      <c r="I50" s="10" t="s">
        <v>54</v>
      </c>
      <c r="J50" s="10" t="s">
        <v>368</v>
      </c>
      <c r="K50" s="10" t="s">
        <v>10</v>
      </c>
      <c r="L50" s="22" t="s">
        <v>1985</v>
      </c>
      <c r="M50" s="15" t="s">
        <v>137</v>
      </c>
      <c r="N50" s="22" t="s">
        <v>1988</v>
      </c>
    </row>
    <row r="51" spans="1:14" ht="56" x14ac:dyDescent="0.35">
      <c r="A51" s="9" t="s">
        <v>119</v>
      </c>
      <c r="B51" s="10" t="s">
        <v>135</v>
      </c>
      <c r="C51" s="10" t="s">
        <v>278</v>
      </c>
      <c r="D51" s="10">
        <v>5</v>
      </c>
      <c r="E51" s="10" t="s">
        <v>8</v>
      </c>
      <c r="F51" s="10" t="s">
        <v>271</v>
      </c>
      <c r="G51" s="10" t="s">
        <v>279</v>
      </c>
      <c r="H51" s="10" t="s">
        <v>371</v>
      </c>
      <c r="I51" s="10" t="s">
        <v>280</v>
      </c>
      <c r="J51" s="10" t="s">
        <v>370</v>
      </c>
      <c r="K51" s="10" t="s">
        <v>10</v>
      </c>
      <c r="L51" s="17" t="s">
        <v>1983</v>
      </c>
      <c r="M51" s="15" t="s">
        <v>137</v>
      </c>
      <c r="N51" s="19"/>
    </row>
    <row r="52" spans="1:14" ht="70" x14ac:dyDescent="0.35">
      <c r="A52" s="9" t="s">
        <v>120</v>
      </c>
      <c r="B52" s="10" t="s">
        <v>135</v>
      </c>
      <c r="C52" s="10" t="s">
        <v>281</v>
      </c>
      <c r="D52" s="10">
        <v>4</v>
      </c>
      <c r="E52" s="10" t="s">
        <v>19</v>
      </c>
      <c r="F52" s="10" t="s">
        <v>271</v>
      </c>
      <c r="G52" s="10" t="s">
        <v>282</v>
      </c>
      <c r="H52" s="10" t="s">
        <v>372</v>
      </c>
      <c r="I52" s="10" t="s">
        <v>283</v>
      </c>
      <c r="J52" s="10" t="s">
        <v>373</v>
      </c>
      <c r="K52" s="10" t="s">
        <v>10</v>
      </c>
      <c r="L52" s="22" t="s">
        <v>1985</v>
      </c>
      <c r="M52" s="15" t="s">
        <v>137</v>
      </c>
      <c r="N52" s="22" t="s">
        <v>1988</v>
      </c>
    </row>
    <row r="53" spans="1:14" ht="56" x14ac:dyDescent="0.35">
      <c r="A53" s="9" t="s">
        <v>121</v>
      </c>
      <c r="B53" s="10" t="s">
        <v>135</v>
      </c>
      <c r="C53" s="10" t="s">
        <v>284</v>
      </c>
      <c r="D53" s="10">
        <v>4</v>
      </c>
      <c r="E53" s="10" t="s">
        <v>19</v>
      </c>
      <c r="F53" s="10" t="s">
        <v>271</v>
      </c>
      <c r="G53" s="10" t="s">
        <v>285</v>
      </c>
      <c r="H53" s="10" t="s">
        <v>375</v>
      </c>
      <c r="I53" s="10" t="s">
        <v>54</v>
      </c>
      <c r="J53" s="10" t="s">
        <v>374</v>
      </c>
      <c r="K53" s="10" t="s">
        <v>10</v>
      </c>
      <c r="L53" s="22" t="s">
        <v>1985</v>
      </c>
      <c r="M53" s="15" t="s">
        <v>137</v>
      </c>
      <c r="N53" s="22" t="s">
        <v>1988</v>
      </c>
    </row>
    <row r="54" spans="1:14" ht="56" x14ac:dyDescent="0.35">
      <c r="A54" s="9" t="s">
        <v>122</v>
      </c>
      <c r="B54" s="10" t="s">
        <v>135</v>
      </c>
      <c r="C54" s="10" t="s">
        <v>286</v>
      </c>
      <c r="D54" s="10">
        <v>5</v>
      </c>
      <c r="E54" s="10" t="s">
        <v>8</v>
      </c>
      <c r="F54" s="10" t="s">
        <v>271</v>
      </c>
      <c r="G54" s="10" t="s">
        <v>287</v>
      </c>
      <c r="H54" s="10" t="s">
        <v>376</v>
      </c>
      <c r="I54" s="10" t="s">
        <v>288</v>
      </c>
      <c r="J54" s="10" t="s">
        <v>377</v>
      </c>
      <c r="K54" s="10" t="s">
        <v>10</v>
      </c>
      <c r="L54" s="17" t="s">
        <v>1983</v>
      </c>
      <c r="M54" s="15" t="s">
        <v>137</v>
      </c>
      <c r="N54" s="19"/>
    </row>
    <row r="55" spans="1:14" ht="42" x14ac:dyDescent="0.35">
      <c r="A55" s="9" t="s">
        <v>123</v>
      </c>
      <c r="B55" s="10" t="s">
        <v>135</v>
      </c>
      <c r="C55" s="10" t="s">
        <v>289</v>
      </c>
      <c r="D55" s="10">
        <v>4</v>
      </c>
      <c r="E55" s="10" t="s">
        <v>19</v>
      </c>
      <c r="F55" s="10" t="s">
        <v>271</v>
      </c>
      <c r="G55" s="10" t="s">
        <v>290</v>
      </c>
      <c r="H55" s="10" t="s">
        <v>378</v>
      </c>
      <c r="I55" s="10" t="s">
        <v>291</v>
      </c>
      <c r="J55" s="10" t="s">
        <v>379</v>
      </c>
      <c r="K55" s="10" t="s">
        <v>10</v>
      </c>
      <c r="L55" s="22" t="s">
        <v>1985</v>
      </c>
      <c r="M55" s="15" t="s">
        <v>137</v>
      </c>
      <c r="N55" s="22" t="s">
        <v>1988</v>
      </c>
    </row>
    <row r="56" spans="1:14" ht="42" x14ac:dyDescent="0.35">
      <c r="A56" s="9" t="s">
        <v>124</v>
      </c>
      <c r="B56" s="10" t="s">
        <v>135</v>
      </c>
      <c r="C56" s="10" t="s">
        <v>292</v>
      </c>
      <c r="D56" s="10">
        <v>4</v>
      </c>
      <c r="E56" s="10" t="s">
        <v>19</v>
      </c>
      <c r="F56" s="10" t="s">
        <v>271</v>
      </c>
      <c r="G56" s="10" t="s">
        <v>293</v>
      </c>
      <c r="H56" s="10" t="s">
        <v>380</v>
      </c>
      <c r="I56" s="10" t="s">
        <v>294</v>
      </c>
      <c r="J56" s="10" t="s">
        <v>381</v>
      </c>
      <c r="K56" s="10" t="s">
        <v>10</v>
      </c>
      <c r="L56" s="22" t="s">
        <v>1985</v>
      </c>
      <c r="M56" s="15" t="s">
        <v>137</v>
      </c>
      <c r="N56" s="22" t="s">
        <v>1988</v>
      </c>
    </row>
    <row r="57" spans="1:14" ht="42" x14ac:dyDescent="0.35">
      <c r="A57" s="9" t="s">
        <v>125</v>
      </c>
      <c r="B57" s="10" t="s">
        <v>135</v>
      </c>
      <c r="C57" s="10" t="s">
        <v>295</v>
      </c>
      <c r="D57" s="10">
        <v>3</v>
      </c>
      <c r="E57" s="10" t="s">
        <v>8</v>
      </c>
      <c r="F57" s="10" t="s">
        <v>271</v>
      </c>
      <c r="G57" s="10" t="s">
        <v>296</v>
      </c>
      <c r="H57" s="10" t="s">
        <v>382</v>
      </c>
      <c r="I57" s="10" t="s">
        <v>297</v>
      </c>
      <c r="J57" s="10" t="s">
        <v>383</v>
      </c>
      <c r="K57" s="10" t="s">
        <v>13</v>
      </c>
      <c r="L57" s="17" t="s">
        <v>1983</v>
      </c>
      <c r="M57" s="15" t="s">
        <v>137</v>
      </c>
      <c r="N57" s="19"/>
    </row>
    <row r="58" spans="1:14" ht="42" x14ac:dyDescent="0.35">
      <c r="A58" s="9" t="s">
        <v>126</v>
      </c>
      <c r="B58" s="10" t="s">
        <v>135</v>
      </c>
      <c r="C58" s="10" t="s">
        <v>298</v>
      </c>
      <c r="D58" s="10">
        <v>3</v>
      </c>
      <c r="E58" s="10" t="s">
        <v>8</v>
      </c>
      <c r="F58" s="10" t="s">
        <v>271</v>
      </c>
      <c r="G58" s="10" t="s">
        <v>299</v>
      </c>
      <c r="H58" s="10" t="s">
        <v>384</v>
      </c>
      <c r="I58" s="10" t="s">
        <v>300</v>
      </c>
      <c r="J58" s="10" t="s">
        <v>385</v>
      </c>
      <c r="K58" s="10" t="s">
        <v>13</v>
      </c>
      <c r="L58" s="22" t="s">
        <v>1985</v>
      </c>
      <c r="M58" s="15" t="s">
        <v>137</v>
      </c>
      <c r="N58" s="22" t="s">
        <v>1988</v>
      </c>
    </row>
    <row r="59" spans="1:14" ht="42" x14ac:dyDescent="0.35">
      <c r="A59" s="9" t="s">
        <v>127</v>
      </c>
      <c r="B59" s="10" t="s">
        <v>135</v>
      </c>
      <c r="C59" s="10" t="s">
        <v>301</v>
      </c>
      <c r="D59" s="10">
        <v>3</v>
      </c>
      <c r="E59" s="10" t="s">
        <v>8</v>
      </c>
      <c r="F59" s="10" t="s">
        <v>271</v>
      </c>
      <c r="G59" s="10" t="s">
        <v>302</v>
      </c>
      <c r="H59" s="10" t="s">
        <v>386</v>
      </c>
      <c r="I59" s="10">
        <v>1</v>
      </c>
      <c r="J59" s="10" t="s">
        <v>385</v>
      </c>
      <c r="K59" s="10" t="s">
        <v>13</v>
      </c>
      <c r="L59" s="22" t="s">
        <v>1985</v>
      </c>
      <c r="M59" s="15" t="s">
        <v>137</v>
      </c>
      <c r="N59" s="22" t="s">
        <v>1988</v>
      </c>
    </row>
    <row r="60" spans="1:14" ht="42" x14ac:dyDescent="0.35">
      <c r="A60" s="9" t="s">
        <v>128</v>
      </c>
      <c r="B60" s="10" t="s">
        <v>135</v>
      </c>
      <c r="C60" s="10" t="s">
        <v>303</v>
      </c>
      <c r="D60" s="10">
        <v>4</v>
      </c>
      <c r="E60" s="10" t="s">
        <v>8</v>
      </c>
      <c r="F60" s="10" t="s">
        <v>271</v>
      </c>
      <c r="G60" s="10" t="s">
        <v>304</v>
      </c>
      <c r="H60" s="10" t="s">
        <v>387</v>
      </c>
      <c r="I60" s="10" t="s">
        <v>54</v>
      </c>
      <c r="J60" s="10" t="s">
        <v>388</v>
      </c>
      <c r="K60" s="10" t="s">
        <v>13</v>
      </c>
      <c r="L60" s="17" t="s">
        <v>1983</v>
      </c>
      <c r="M60" s="15" t="s">
        <v>137</v>
      </c>
      <c r="N60" s="19"/>
    </row>
    <row r="61" spans="1:14" ht="42" x14ac:dyDescent="0.35">
      <c r="A61" s="9" t="s">
        <v>129</v>
      </c>
      <c r="B61" s="10" t="s">
        <v>135</v>
      </c>
      <c r="C61" s="10" t="s">
        <v>305</v>
      </c>
      <c r="D61" s="10">
        <v>4</v>
      </c>
      <c r="E61" s="10" t="s">
        <v>8</v>
      </c>
      <c r="F61" s="10" t="s">
        <v>271</v>
      </c>
      <c r="G61" s="10" t="s">
        <v>306</v>
      </c>
      <c r="H61" s="10" t="s">
        <v>389</v>
      </c>
      <c r="I61" s="10" t="s">
        <v>54</v>
      </c>
      <c r="J61" s="10" t="s">
        <v>388</v>
      </c>
      <c r="K61" s="10" t="s">
        <v>13</v>
      </c>
      <c r="L61" s="22" t="s">
        <v>1985</v>
      </c>
      <c r="M61" s="15" t="s">
        <v>137</v>
      </c>
      <c r="N61" s="22" t="s">
        <v>1988</v>
      </c>
    </row>
    <row r="62" spans="1:14" ht="42" x14ac:dyDescent="0.35">
      <c r="A62" s="9" t="s">
        <v>130</v>
      </c>
      <c r="B62" s="10" t="s">
        <v>135</v>
      </c>
      <c r="C62" s="10" t="s">
        <v>307</v>
      </c>
      <c r="D62" s="10">
        <v>4</v>
      </c>
      <c r="E62" s="10" t="s">
        <v>8</v>
      </c>
      <c r="F62" s="10" t="s">
        <v>271</v>
      </c>
      <c r="G62" s="10" t="s">
        <v>308</v>
      </c>
      <c r="H62" s="10" t="s">
        <v>390</v>
      </c>
      <c r="I62" s="10" t="s">
        <v>54</v>
      </c>
      <c r="J62" s="10" t="s">
        <v>388</v>
      </c>
      <c r="K62" s="10" t="s">
        <v>13</v>
      </c>
      <c r="L62" s="22" t="s">
        <v>1985</v>
      </c>
      <c r="M62" s="15" t="s">
        <v>137</v>
      </c>
      <c r="N62" s="22" t="s">
        <v>1988</v>
      </c>
    </row>
    <row r="63" spans="1:14" ht="70" x14ac:dyDescent="0.35">
      <c r="A63" s="9" t="s">
        <v>131</v>
      </c>
      <c r="B63" s="10" t="s">
        <v>135</v>
      </c>
      <c r="C63" s="10" t="s">
        <v>309</v>
      </c>
      <c r="D63" s="10">
        <v>5</v>
      </c>
      <c r="E63" s="10" t="s">
        <v>19</v>
      </c>
      <c r="F63" s="10" t="s">
        <v>271</v>
      </c>
      <c r="G63" s="10" t="s">
        <v>275</v>
      </c>
      <c r="H63" s="10" t="s">
        <v>391</v>
      </c>
      <c r="I63" s="10" t="s">
        <v>54</v>
      </c>
      <c r="J63" s="10" t="s">
        <v>392</v>
      </c>
      <c r="K63" s="10" t="s">
        <v>10</v>
      </c>
      <c r="L63" s="22" t="s">
        <v>1985</v>
      </c>
      <c r="M63" s="15" t="s">
        <v>137</v>
      </c>
      <c r="N63" s="22" t="s">
        <v>1988</v>
      </c>
    </row>
    <row r="64" spans="1:14" ht="70" x14ac:dyDescent="0.35">
      <c r="A64" s="9" t="s">
        <v>132</v>
      </c>
      <c r="B64" s="10" t="s">
        <v>135</v>
      </c>
      <c r="C64" s="10" t="s">
        <v>310</v>
      </c>
      <c r="D64" s="10">
        <v>5</v>
      </c>
      <c r="E64" s="10" t="s">
        <v>19</v>
      </c>
      <c r="F64" s="10" t="s">
        <v>271</v>
      </c>
      <c r="G64" s="10" t="s">
        <v>277</v>
      </c>
      <c r="H64" s="10" t="s">
        <v>393</v>
      </c>
      <c r="I64" s="10" t="s">
        <v>311</v>
      </c>
      <c r="J64" s="10" t="s">
        <v>394</v>
      </c>
      <c r="K64" s="10" t="s">
        <v>10</v>
      </c>
      <c r="L64" s="22" t="s">
        <v>1985</v>
      </c>
      <c r="M64" s="15" t="s">
        <v>137</v>
      </c>
      <c r="N64" s="22" t="s">
        <v>1988</v>
      </c>
    </row>
    <row r="65" spans="1:14" ht="70" x14ac:dyDescent="0.35">
      <c r="A65" s="9" t="s">
        <v>133</v>
      </c>
      <c r="B65" s="10" t="s">
        <v>135</v>
      </c>
      <c r="C65" s="10" t="s">
        <v>312</v>
      </c>
      <c r="D65" s="10">
        <v>6</v>
      </c>
      <c r="E65" s="10" t="s">
        <v>313</v>
      </c>
      <c r="F65" s="10" t="s">
        <v>271</v>
      </c>
      <c r="G65" s="10" t="s">
        <v>314</v>
      </c>
      <c r="H65" s="10" t="s">
        <v>395</v>
      </c>
      <c r="I65" s="10" t="s">
        <v>54</v>
      </c>
      <c r="J65" s="10" t="s">
        <v>396</v>
      </c>
      <c r="K65" s="10" t="s">
        <v>13</v>
      </c>
      <c r="L65" s="22" t="s">
        <v>1985</v>
      </c>
      <c r="M65" s="15" t="s">
        <v>137</v>
      </c>
      <c r="N65" s="22" t="s">
        <v>1988</v>
      </c>
    </row>
    <row r="66" spans="1:14" ht="56" x14ac:dyDescent="0.35">
      <c r="A66" s="9" t="s">
        <v>134</v>
      </c>
      <c r="B66" s="10" t="s">
        <v>135</v>
      </c>
      <c r="C66" s="10" t="s">
        <v>315</v>
      </c>
      <c r="D66" s="10">
        <v>6</v>
      </c>
      <c r="E66" s="10" t="s">
        <v>313</v>
      </c>
      <c r="F66" s="10" t="s">
        <v>271</v>
      </c>
      <c r="G66" s="10" t="s">
        <v>316</v>
      </c>
      <c r="H66" s="10" t="s">
        <v>317</v>
      </c>
      <c r="I66" s="10" t="s">
        <v>318</v>
      </c>
      <c r="J66" s="10" t="s">
        <v>319</v>
      </c>
      <c r="K66" s="10" t="s">
        <v>13</v>
      </c>
      <c r="L66" s="22" t="s">
        <v>1985</v>
      </c>
      <c r="M66" s="15" t="s">
        <v>137</v>
      </c>
      <c r="N66" s="22" t="s">
        <v>1988</v>
      </c>
    </row>
    <row r="67" spans="1:14" ht="56" x14ac:dyDescent="0.35">
      <c r="A67" s="9" t="s">
        <v>320</v>
      </c>
      <c r="B67" s="10" t="s">
        <v>135</v>
      </c>
      <c r="C67" s="10" t="s">
        <v>321</v>
      </c>
      <c r="D67" s="10">
        <v>4</v>
      </c>
      <c r="E67" s="10" t="s">
        <v>322</v>
      </c>
      <c r="F67" s="10" t="s">
        <v>271</v>
      </c>
      <c r="G67" s="10" t="s">
        <v>323</v>
      </c>
      <c r="H67" s="10" t="s">
        <v>397</v>
      </c>
      <c r="I67" s="10" t="s">
        <v>54</v>
      </c>
      <c r="J67" s="10" t="s">
        <v>398</v>
      </c>
      <c r="K67" s="10" t="s">
        <v>10</v>
      </c>
      <c r="L67" s="22" t="s">
        <v>1985</v>
      </c>
      <c r="M67" s="15" t="s">
        <v>137</v>
      </c>
      <c r="N67" s="22" t="s">
        <v>1988</v>
      </c>
    </row>
    <row r="68" spans="1:14" ht="70" x14ac:dyDescent="0.35">
      <c r="A68" s="9" t="s">
        <v>324</v>
      </c>
      <c r="B68" s="10" t="s">
        <v>135</v>
      </c>
      <c r="C68" s="10" t="s">
        <v>399</v>
      </c>
      <c r="D68" s="10">
        <v>6</v>
      </c>
      <c r="E68" s="10" t="s">
        <v>20</v>
      </c>
      <c r="F68" s="10" t="s">
        <v>400</v>
      </c>
      <c r="G68" s="10" t="s">
        <v>401</v>
      </c>
      <c r="H68" s="10" t="s">
        <v>2009</v>
      </c>
      <c r="I68" s="10"/>
      <c r="J68" s="10" t="s">
        <v>2010</v>
      </c>
      <c r="K68" s="10" t="s">
        <v>10</v>
      </c>
      <c r="L68" s="17" t="s">
        <v>1983</v>
      </c>
      <c r="M68" s="15" t="s">
        <v>137</v>
      </c>
      <c r="N68" s="19"/>
    </row>
    <row r="69" spans="1:14" ht="70" x14ac:dyDescent="0.35">
      <c r="A69" s="9" t="s">
        <v>325</v>
      </c>
      <c r="B69" s="10" t="s">
        <v>135</v>
      </c>
      <c r="C69" s="10" t="s">
        <v>402</v>
      </c>
      <c r="D69" s="10">
        <v>5</v>
      </c>
      <c r="E69" s="10" t="s">
        <v>20</v>
      </c>
      <c r="F69" s="10" t="s">
        <v>400</v>
      </c>
      <c r="G69" s="10" t="s">
        <v>403</v>
      </c>
      <c r="H69" s="10" t="s">
        <v>2011</v>
      </c>
      <c r="I69" s="10" t="s">
        <v>214</v>
      </c>
      <c r="J69" s="10" t="s">
        <v>2012</v>
      </c>
      <c r="K69" s="10" t="s">
        <v>10</v>
      </c>
      <c r="L69" s="17" t="s">
        <v>1983</v>
      </c>
      <c r="M69" s="15" t="s">
        <v>137</v>
      </c>
      <c r="N69" s="19"/>
    </row>
    <row r="70" spans="1:14" ht="84" x14ac:dyDescent="0.35">
      <c r="A70" s="9" t="s">
        <v>326</v>
      </c>
      <c r="B70" s="10" t="s">
        <v>135</v>
      </c>
      <c r="C70" s="10" t="s">
        <v>404</v>
      </c>
      <c r="D70" s="10">
        <v>6</v>
      </c>
      <c r="E70" s="10" t="s">
        <v>20</v>
      </c>
      <c r="F70" s="10" t="s">
        <v>400</v>
      </c>
      <c r="G70" s="10" t="s">
        <v>405</v>
      </c>
      <c r="H70" s="10" t="s">
        <v>2013</v>
      </c>
      <c r="I70" s="10" t="s">
        <v>406</v>
      </c>
      <c r="J70" s="10" t="s">
        <v>2014</v>
      </c>
      <c r="K70" s="10" t="s">
        <v>10</v>
      </c>
      <c r="L70" s="17" t="s">
        <v>1983</v>
      </c>
      <c r="M70" s="15" t="s">
        <v>137</v>
      </c>
      <c r="N70" s="19"/>
    </row>
    <row r="71" spans="1:14" ht="56" x14ac:dyDescent="0.35">
      <c r="A71" s="9" t="s">
        <v>327</v>
      </c>
      <c r="B71" s="10" t="s">
        <v>135</v>
      </c>
      <c r="C71" s="10" t="s">
        <v>407</v>
      </c>
      <c r="D71" s="10">
        <v>6</v>
      </c>
      <c r="E71" s="10" t="s">
        <v>20</v>
      </c>
      <c r="F71" s="10" t="s">
        <v>400</v>
      </c>
      <c r="G71" s="10" t="s">
        <v>408</v>
      </c>
      <c r="H71" s="10" t="s">
        <v>2015</v>
      </c>
      <c r="I71" s="10" t="s">
        <v>409</v>
      </c>
      <c r="J71" s="10" t="s">
        <v>2016</v>
      </c>
      <c r="K71" s="10" t="s">
        <v>10</v>
      </c>
      <c r="L71" s="17" t="s">
        <v>1983</v>
      </c>
      <c r="M71" s="15" t="s">
        <v>137</v>
      </c>
      <c r="N71" s="19"/>
    </row>
    <row r="72" spans="1:14" ht="84" x14ac:dyDescent="0.35">
      <c r="A72" s="9" t="s">
        <v>328</v>
      </c>
      <c r="B72" s="10" t="s">
        <v>135</v>
      </c>
      <c r="C72" s="10" t="s">
        <v>410</v>
      </c>
      <c r="D72" s="10">
        <v>6</v>
      </c>
      <c r="E72" s="10" t="s">
        <v>20</v>
      </c>
      <c r="F72" s="10" t="s">
        <v>411</v>
      </c>
      <c r="G72" s="10" t="s">
        <v>412</v>
      </c>
      <c r="H72" s="10" t="s">
        <v>2017</v>
      </c>
      <c r="I72" s="10" t="s">
        <v>413</v>
      </c>
      <c r="J72" s="10" t="s">
        <v>2018</v>
      </c>
      <c r="K72" s="10" t="s">
        <v>10</v>
      </c>
      <c r="L72" s="17" t="s">
        <v>1983</v>
      </c>
      <c r="M72" s="15" t="s">
        <v>137</v>
      </c>
      <c r="N72" s="19"/>
    </row>
    <row r="73" spans="1:14" ht="56" x14ac:dyDescent="0.35">
      <c r="A73" s="9" t="s">
        <v>329</v>
      </c>
      <c r="B73" s="10" t="s">
        <v>135</v>
      </c>
      <c r="C73" s="10" t="s">
        <v>414</v>
      </c>
      <c r="D73" s="10">
        <v>5</v>
      </c>
      <c r="E73" s="10" t="s">
        <v>20</v>
      </c>
      <c r="F73" s="10" t="s">
        <v>411</v>
      </c>
      <c r="G73" s="10" t="s">
        <v>415</v>
      </c>
      <c r="H73" s="10" t="s">
        <v>2019</v>
      </c>
      <c r="I73" s="10" t="s">
        <v>416</v>
      </c>
      <c r="J73" s="10" t="s">
        <v>2020</v>
      </c>
      <c r="K73" s="10" t="s">
        <v>13</v>
      </c>
      <c r="L73" s="17" t="s">
        <v>1983</v>
      </c>
      <c r="M73" s="15" t="s">
        <v>137</v>
      </c>
      <c r="N73" s="19"/>
    </row>
    <row r="74" spans="1:14" ht="70" x14ac:dyDescent="0.35">
      <c r="A74" s="9" t="s">
        <v>330</v>
      </c>
      <c r="B74" s="10" t="s">
        <v>135</v>
      </c>
      <c r="C74" s="10" t="s">
        <v>417</v>
      </c>
      <c r="D74" s="10">
        <v>6</v>
      </c>
      <c r="E74" s="10" t="s">
        <v>20</v>
      </c>
      <c r="F74" s="10" t="s">
        <v>411</v>
      </c>
      <c r="G74" s="10" t="s">
        <v>418</v>
      </c>
      <c r="H74" s="10" t="s">
        <v>2021</v>
      </c>
      <c r="I74" s="10" t="s">
        <v>419</v>
      </c>
      <c r="J74" s="10" t="s">
        <v>2022</v>
      </c>
      <c r="K74" s="10" t="s">
        <v>10</v>
      </c>
      <c r="L74" s="17" t="s">
        <v>1983</v>
      </c>
      <c r="M74" s="15" t="s">
        <v>137</v>
      </c>
      <c r="N74" s="19"/>
    </row>
    <row r="75" spans="1:14" ht="56" x14ac:dyDescent="0.35">
      <c r="A75" s="9" t="s">
        <v>331</v>
      </c>
      <c r="B75" s="10" t="s">
        <v>135</v>
      </c>
      <c r="C75" s="10" t="s">
        <v>420</v>
      </c>
      <c r="D75" s="10">
        <v>6</v>
      </c>
      <c r="E75" s="10" t="s">
        <v>20</v>
      </c>
      <c r="F75" s="10" t="s">
        <v>411</v>
      </c>
      <c r="G75" s="10" t="s">
        <v>421</v>
      </c>
      <c r="H75" s="10" t="s">
        <v>2023</v>
      </c>
      <c r="I75" s="10" t="s">
        <v>422</v>
      </c>
      <c r="J75" s="10" t="s">
        <v>2024</v>
      </c>
      <c r="K75" s="10" t="s">
        <v>10</v>
      </c>
      <c r="L75" s="17" t="s">
        <v>1983</v>
      </c>
      <c r="M75" s="15" t="s">
        <v>137</v>
      </c>
      <c r="N75" s="19"/>
    </row>
    <row r="76" spans="1:14" ht="28" x14ac:dyDescent="0.35">
      <c r="A76" s="9" t="s">
        <v>332</v>
      </c>
      <c r="B76" s="10" t="s">
        <v>135</v>
      </c>
      <c r="C76" s="10" t="s">
        <v>16</v>
      </c>
      <c r="D76" s="10">
        <v>4</v>
      </c>
      <c r="E76" s="10" t="s">
        <v>8</v>
      </c>
      <c r="F76" s="10" t="s">
        <v>400</v>
      </c>
      <c r="G76" s="10" t="s">
        <v>423</v>
      </c>
      <c r="H76" s="10" t="s">
        <v>2025</v>
      </c>
      <c r="I76" s="10" t="s">
        <v>54</v>
      </c>
      <c r="J76" s="10" t="s">
        <v>2026</v>
      </c>
      <c r="K76" s="10" t="s">
        <v>13</v>
      </c>
      <c r="L76" s="17" t="s">
        <v>1983</v>
      </c>
      <c r="M76" s="15" t="s">
        <v>137</v>
      </c>
      <c r="N76" s="19"/>
    </row>
    <row r="77" spans="1:14" ht="56" x14ac:dyDescent="0.35">
      <c r="A77" s="9" t="s">
        <v>333</v>
      </c>
      <c r="B77" s="10" t="s">
        <v>135</v>
      </c>
      <c r="C77" s="10" t="s">
        <v>424</v>
      </c>
      <c r="D77" s="10">
        <v>5</v>
      </c>
      <c r="E77" s="10" t="s">
        <v>8</v>
      </c>
      <c r="F77" s="10" t="s">
        <v>411</v>
      </c>
      <c r="G77" s="10" t="s">
        <v>425</v>
      </c>
      <c r="H77" s="10" t="s">
        <v>2027</v>
      </c>
      <c r="I77" s="10" t="s">
        <v>54</v>
      </c>
      <c r="J77" s="10" t="s">
        <v>2028</v>
      </c>
      <c r="K77" s="10" t="s">
        <v>13</v>
      </c>
      <c r="L77" s="17" t="s">
        <v>1983</v>
      </c>
      <c r="M77" s="15" t="s">
        <v>137</v>
      </c>
      <c r="N77" s="19"/>
    </row>
    <row r="78" spans="1:14" ht="42" x14ac:dyDescent="0.35">
      <c r="A78" s="9" t="s">
        <v>334</v>
      </c>
      <c r="B78" s="10" t="s">
        <v>135</v>
      </c>
      <c r="C78" s="10" t="s">
        <v>426</v>
      </c>
      <c r="D78" s="10">
        <v>6</v>
      </c>
      <c r="E78" s="10" t="s">
        <v>20</v>
      </c>
      <c r="F78" s="10" t="s">
        <v>427</v>
      </c>
      <c r="G78" s="10" t="s">
        <v>428</v>
      </c>
      <c r="H78" s="10" t="s">
        <v>2029</v>
      </c>
      <c r="I78" s="10" t="s">
        <v>429</v>
      </c>
      <c r="J78" s="10" t="s">
        <v>2030</v>
      </c>
      <c r="K78" s="10" t="s">
        <v>10</v>
      </c>
      <c r="L78" s="17" t="s">
        <v>1983</v>
      </c>
      <c r="M78" s="15" t="s">
        <v>137</v>
      </c>
      <c r="N78" s="19"/>
    </row>
    <row r="79" spans="1:14" ht="28" x14ac:dyDescent="0.35">
      <c r="A79" s="9" t="s">
        <v>335</v>
      </c>
      <c r="B79" s="10" t="s">
        <v>135</v>
      </c>
      <c r="C79" s="10" t="s">
        <v>430</v>
      </c>
      <c r="D79" s="10">
        <v>5</v>
      </c>
      <c r="E79" s="10" t="s">
        <v>8</v>
      </c>
      <c r="F79" s="10" t="s">
        <v>427</v>
      </c>
      <c r="G79" s="10" t="s">
        <v>431</v>
      </c>
      <c r="H79" s="10" t="s">
        <v>2031</v>
      </c>
      <c r="I79" s="10" t="s">
        <v>54</v>
      </c>
      <c r="J79" s="10" t="s">
        <v>2032</v>
      </c>
      <c r="K79" s="10" t="s">
        <v>13</v>
      </c>
      <c r="L79" s="17" t="s">
        <v>1983</v>
      </c>
      <c r="M79" s="15" t="s">
        <v>137</v>
      </c>
      <c r="N79" s="19"/>
    </row>
    <row r="80" spans="1:14" ht="70" x14ac:dyDescent="0.35">
      <c r="A80" s="9" t="s">
        <v>336</v>
      </c>
      <c r="B80" s="10" t="s">
        <v>135</v>
      </c>
      <c r="C80" s="10" t="s">
        <v>432</v>
      </c>
      <c r="D80" s="10">
        <v>6</v>
      </c>
      <c r="E80" s="10" t="s">
        <v>20</v>
      </c>
      <c r="F80" s="10" t="s">
        <v>427</v>
      </c>
      <c r="G80" s="10" t="s">
        <v>433</v>
      </c>
      <c r="H80" s="10" t="s">
        <v>2033</v>
      </c>
      <c r="I80" s="10" t="s">
        <v>434</v>
      </c>
      <c r="J80" s="10" t="s">
        <v>2034</v>
      </c>
      <c r="K80" s="10" t="s">
        <v>10</v>
      </c>
      <c r="L80" s="17" t="s">
        <v>1983</v>
      </c>
      <c r="M80" s="15" t="s">
        <v>137</v>
      </c>
      <c r="N80" s="19"/>
    </row>
    <row r="81" spans="1:14" ht="42" x14ac:dyDescent="0.35">
      <c r="A81" s="9" t="s">
        <v>337</v>
      </c>
      <c r="B81" s="10" t="s">
        <v>135</v>
      </c>
      <c r="C81" s="10" t="s">
        <v>435</v>
      </c>
      <c r="D81" s="10">
        <v>6</v>
      </c>
      <c r="E81" s="10" t="s">
        <v>20</v>
      </c>
      <c r="F81" s="10" t="s">
        <v>427</v>
      </c>
      <c r="G81" s="10" t="s">
        <v>436</v>
      </c>
      <c r="H81" s="10" t="s">
        <v>2035</v>
      </c>
      <c r="I81" s="10" t="s">
        <v>437</v>
      </c>
      <c r="J81" s="10" t="s">
        <v>2036</v>
      </c>
      <c r="K81" s="10" t="s">
        <v>13</v>
      </c>
      <c r="L81" s="17" t="s">
        <v>1983</v>
      </c>
      <c r="M81" s="15" t="s">
        <v>137</v>
      </c>
      <c r="N81" s="19"/>
    </row>
    <row r="82" spans="1:14" ht="42" x14ac:dyDescent="0.35">
      <c r="A82" s="9" t="s">
        <v>338</v>
      </c>
      <c r="B82" s="10" t="s">
        <v>135</v>
      </c>
      <c r="C82" s="10" t="s">
        <v>438</v>
      </c>
      <c r="D82" s="10">
        <v>5</v>
      </c>
      <c r="E82" s="10" t="s">
        <v>8</v>
      </c>
      <c r="F82" s="10" t="s">
        <v>427</v>
      </c>
      <c r="G82" s="10" t="s">
        <v>439</v>
      </c>
      <c r="H82" s="10" t="s">
        <v>2037</v>
      </c>
      <c r="I82" s="10" t="s">
        <v>54</v>
      </c>
      <c r="J82" s="10" t="s">
        <v>2038</v>
      </c>
      <c r="K82" s="10" t="s">
        <v>13</v>
      </c>
      <c r="L82" s="17" t="s">
        <v>1983</v>
      </c>
      <c r="M82" s="15" t="s">
        <v>137</v>
      </c>
      <c r="N82" s="19"/>
    </row>
    <row r="83" spans="1:14" ht="28" x14ac:dyDescent="0.35">
      <c r="A83" s="9" t="s">
        <v>339</v>
      </c>
      <c r="B83" s="10" t="s">
        <v>135</v>
      </c>
      <c r="C83" s="10" t="s">
        <v>440</v>
      </c>
      <c r="D83" s="10">
        <v>6</v>
      </c>
      <c r="E83" s="10" t="s">
        <v>8</v>
      </c>
      <c r="F83" s="10" t="s">
        <v>400</v>
      </c>
      <c r="G83" s="10" t="s">
        <v>441</v>
      </c>
      <c r="H83" s="10" t="s">
        <v>2039</v>
      </c>
      <c r="I83" s="10" t="s">
        <v>54</v>
      </c>
      <c r="J83" s="10" t="s">
        <v>2040</v>
      </c>
      <c r="K83" s="10" t="s">
        <v>13</v>
      </c>
      <c r="L83" s="17" t="s">
        <v>1983</v>
      </c>
      <c r="M83" s="15" t="s">
        <v>137</v>
      </c>
      <c r="N83" s="19"/>
    </row>
    <row r="84" spans="1:14" ht="28" x14ac:dyDescent="0.35">
      <c r="A84" s="9" t="s">
        <v>340</v>
      </c>
      <c r="B84" s="10" t="s">
        <v>135</v>
      </c>
      <c r="C84" s="10" t="s">
        <v>442</v>
      </c>
      <c r="D84" s="10">
        <v>6</v>
      </c>
      <c r="E84" s="10" t="s">
        <v>8</v>
      </c>
      <c r="F84" s="10" t="s">
        <v>411</v>
      </c>
      <c r="G84" s="10" t="s">
        <v>443</v>
      </c>
      <c r="H84" s="10" t="s">
        <v>2041</v>
      </c>
      <c r="I84" s="10" t="s">
        <v>54</v>
      </c>
      <c r="J84" s="10" t="s">
        <v>2042</v>
      </c>
      <c r="K84" s="10" t="s">
        <v>13</v>
      </c>
      <c r="L84" s="17" t="s">
        <v>1983</v>
      </c>
      <c r="M84" s="15" t="s">
        <v>137</v>
      </c>
      <c r="N84" s="19"/>
    </row>
    <row r="85" spans="1:14" ht="28" x14ac:dyDescent="0.35">
      <c r="A85" s="9" t="s">
        <v>341</v>
      </c>
      <c r="B85" s="10" t="s">
        <v>135</v>
      </c>
      <c r="C85" s="10" t="s">
        <v>444</v>
      </c>
      <c r="D85" s="10">
        <v>6</v>
      </c>
      <c r="E85" s="10" t="s">
        <v>8</v>
      </c>
      <c r="F85" s="10" t="s">
        <v>427</v>
      </c>
      <c r="G85" s="10" t="s">
        <v>445</v>
      </c>
      <c r="H85" s="10" t="s">
        <v>446</v>
      </c>
      <c r="I85" s="10" t="s">
        <v>54</v>
      </c>
      <c r="J85" s="10" t="s">
        <v>447</v>
      </c>
      <c r="K85" s="10" t="s">
        <v>13</v>
      </c>
      <c r="L85" s="17" t="s">
        <v>1983</v>
      </c>
      <c r="M85" s="15" t="s">
        <v>137</v>
      </c>
      <c r="N85" s="19"/>
    </row>
    <row r="86" spans="1:14" ht="56" x14ac:dyDescent="0.35">
      <c r="A86" s="9" t="s">
        <v>342</v>
      </c>
      <c r="B86" s="10" t="s">
        <v>135</v>
      </c>
      <c r="C86" s="10" t="s">
        <v>448</v>
      </c>
      <c r="D86" s="10">
        <v>7</v>
      </c>
      <c r="E86" s="10" t="s">
        <v>20</v>
      </c>
      <c r="F86" s="10" t="s">
        <v>411</v>
      </c>
      <c r="G86" s="10" t="s">
        <v>449</v>
      </c>
      <c r="H86" s="10" t="s">
        <v>2043</v>
      </c>
      <c r="I86" s="10" t="s">
        <v>450</v>
      </c>
      <c r="J86" s="10" t="s">
        <v>2044</v>
      </c>
      <c r="K86" s="10" t="s">
        <v>13</v>
      </c>
      <c r="L86" s="17" t="s">
        <v>1983</v>
      </c>
      <c r="M86" s="15" t="s">
        <v>137</v>
      </c>
      <c r="N86" s="19"/>
    </row>
    <row r="87" spans="1:14" ht="56" x14ac:dyDescent="0.35">
      <c r="A87" s="9" t="s">
        <v>343</v>
      </c>
      <c r="B87" s="10" t="s">
        <v>135</v>
      </c>
      <c r="C87" s="10" t="s">
        <v>451</v>
      </c>
      <c r="D87" s="10">
        <v>7</v>
      </c>
      <c r="E87" s="10" t="s">
        <v>20</v>
      </c>
      <c r="F87" s="10" t="s">
        <v>400</v>
      </c>
      <c r="G87" s="10" t="s">
        <v>452</v>
      </c>
      <c r="H87" s="10" t="s">
        <v>2045</v>
      </c>
      <c r="I87" s="10" t="s">
        <v>453</v>
      </c>
      <c r="J87" s="10" t="s">
        <v>2046</v>
      </c>
      <c r="K87" s="10" t="s">
        <v>13</v>
      </c>
      <c r="L87" s="17" t="s">
        <v>1983</v>
      </c>
      <c r="M87" s="15" t="s">
        <v>137</v>
      </c>
      <c r="N87" s="19"/>
    </row>
    <row r="88" spans="1:14" ht="84" x14ac:dyDescent="0.35">
      <c r="A88" s="9" t="s">
        <v>344</v>
      </c>
      <c r="B88" s="10" t="s">
        <v>135</v>
      </c>
      <c r="C88" s="10" t="s">
        <v>454</v>
      </c>
      <c r="D88" s="10">
        <v>5</v>
      </c>
      <c r="E88" s="10" t="s">
        <v>322</v>
      </c>
      <c r="F88" s="10" t="s">
        <v>322</v>
      </c>
      <c r="G88" s="10" t="s">
        <v>31</v>
      </c>
      <c r="H88" s="10" t="s">
        <v>2047</v>
      </c>
      <c r="I88" s="10" t="s">
        <v>54</v>
      </c>
      <c r="J88" s="10" t="s">
        <v>2048</v>
      </c>
      <c r="K88" s="10" t="s">
        <v>13</v>
      </c>
      <c r="L88" s="17" t="s">
        <v>1983</v>
      </c>
      <c r="M88" s="15" t="s">
        <v>137</v>
      </c>
      <c r="N88" s="19"/>
    </row>
    <row r="89" spans="1:14" ht="56" x14ac:dyDescent="0.35">
      <c r="A89" s="9" t="s">
        <v>345</v>
      </c>
      <c r="B89" s="10" t="s">
        <v>135</v>
      </c>
      <c r="C89" s="10" t="s">
        <v>455</v>
      </c>
      <c r="D89" s="10">
        <v>6</v>
      </c>
      <c r="E89" s="10" t="s">
        <v>322</v>
      </c>
      <c r="F89" s="10" t="s">
        <v>322</v>
      </c>
      <c r="G89" s="10" t="s">
        <v>456</v>
      </c>
      <c r="H89" s="10" t="s">
        <v>2049</v>
      </c>
      <c r="I89" s="10" t="s">
        <v>54</v>
      </c>
      <c r="J89" s="10" t="s">
        <v>2050</v>
      </c>
      <c r="K89" s="10" t="s">
        <v>13</v>
      </c>
      <c r="L89" s="17" t="s">
        <v>1983</v>
      </c>
      <c r="M89" s="15" t="s">
        <v>137</v>
      </c>
      <c r="N89" s="19"/>
    </row>
    <row r="90" spans="1:14" ht="42" x14ac:dyDescent="0.35">
      <c r="A90" s="9" t="s">
        <v>346</v>
      </c>
      <c r="B90" s="10" t="s">
        <v>135</v>
      </c>
      <c r="C90" s="10" t="s">
        <v>457</v>
      </c>
      <c r="D90" s="10">
        <v>8</v>
      </c>
      <c r="E90" s="10" t="s">
        <v>91</v>
      </c>
      <c r="F90" s="10" t="s">
        <v>458</v>
      </c>
      <c r="G90" s="10" t="s">
        <v>459</v>
      </c>
      <c r="H90" s="10" t="s">
        <v>460</v>
      </c>
      <c r="I90" s="10" t="s">
        <v>54</v>
      </c>
      <c r="J90" s="10" t="s">
        <v>2051</v>
      </c>
      <c r="K90" s="10" t="s">
        <v>10</v>
      </c>
      <c r="L90" s="22" t="s">
        <v>1985</v>
      </c>
      <c r="M90" s="15" t="s">
        <v>137</v>
      </c>
      <c r="N90" s="22" t="s">
        <v>1989</v>
      </c>
    </row>
    <row r="91" spans="1:14" ht="56" x14ac:dyDescent="0.35">
      <c r="A91" s="9" t="s">
        <v>347</v>
      </c>
      <c r="B91" s="10" t="s">
        <v>135</v>
      </c>
      <c r="C91" s="10" t="s">
        <v>461</v>
      </c>
      <c r="D91" s="10">
        <v>5</v>
      </c>
      <c r="E91" s="10" t="s">
        <v>8</v>
      </c>
      <c r="F91" s="10" t="s">
        <v>462</v>
      </c>
      <c r="G91" s="10" t="s">
        <v>463</v>
      </c>
      <c r="H91" s="10" t="s">
        <v>2052</v>
      </c>
      <c r="I91" s="10" t="s">
        <v>54</v>
      </c>
      <c r="J91" s="10" t="s">
        <v>2053</v>
      </c>
      <c r="K91" s="10" t="s">
        <v>13</v>
      </c>
      <c r="L91" s="22" t="s">
        <v>1985</v>
      </c>
      <c r="M91" s="15" t="s">
        <v>137</v>
      </c>
      <c r="N91" s="22" t="s">
        <v>1989</v>
      </c>
    </row>
    <row r="92" spans="1:14" ht="42" x14ac:dyDescent="0.35">
      <c r="A92" s="9" t="s">
        <v>348</v>
      </c>
      <c r="B92" s="10" t="s">
        <v>135</v>
      </c>
      <c r="C92" s="10" t="s">
        <v>464</v>
      </c>
      <c r="D92" s="10">
        <v>6</v>
      </c>
      <c r="E92" s="10" t="s">
        <v>91</v>
      </c>
      <c r="F92" s="10" t="s">
        <v>462</v>
      </c>
      <c r="G92" s="10" t="s">
        <v>465</v>
      </c>
      <c r="H92" s="10" t="s">
        <v>2054</v>
      </c>
      <c r="I92" s="10" t="s">
        <v>54</v>
      </c>
      <c r="J92" s="10" t="s">
        <v>2055</v>
      </c>
      <c r="K92" s="10" t="s">
        <v>13</v>
      </c>
      <c r="L92" s="17" t="s">
        <v>1983</v>
      </c>
      <c r="M92" s="15" t="s">
        <v>137</v>
      </c>
      <c r="N92" s="19"/>
    </row>
    <row r="93" spans="1:14" ht="56" x14ac:dyDescent="0.35">
      <c r="A93" s="9" t="s">
        <v>349</v>
      </c>
      <c r="B93" s="10" t="s">
        <v>135</v>
      </c>
      <c r="C93" s="10" t="s">
        <v>466</v>
      </c>
      <c r="D93" s="10">
        <v>6</v>
      </c>
      <c r="E93" s="10" t="s">
        <v>8</v>
      </c>
      <c r="F93" s="10" t="s">
        <v>467</v>
      </c>
      <c r="G93" s="10" t="s">
        <v>468</v>
      </c>
      <c r="H93" s="10" t="s">
        <v>2056</v>
      </c>
      <c r="I93" s="10" t="s">
        <v>54</v>
      </c>
      <c r="J93" s="10" t="s">
        <v>2057</v>
      </c>
      <c r="K93" s="10" t="s">
        <v>13</v>
      </c>
      <c r="L93" s="17" t="s">
        <v>1983</v>
      </c>
      <c r="M93" s="15" t="s">
        <v>137</v>
      </c>
      <c r="N93" s="19"/>
    </row>
    <row r="94" spans="1:14" ht="28" x14ac:dyDescent="0.35">
      <c r="A94" s="9" t="s">
        <v>350</v>
      </c>
      <c r="B94" s="10" t="s">
        <v>135</v>
      </c>
      <c r="C94" s="10" t="s">
        <v>469</v>
      </c>
      <c r="D94" s="10">
        <v>6</v>
      </c>
      <c r="E94" s="10" t="s">
        <v>8</v>
      </c>
      <c r="F94" s="10" t="s">
        <v>467</v>
      </c>
      <c r="G94" s="10" t="s">
        <v>470</v>
      </c>
      <c r="H94" s="10" t="s">
        <v>2058</v>
      </c>
      <c r="I94" s="10" t="s">
        <v>471</v>
      </c>
      <c r="J94" s="10" t="s">
        <v>2059</v>
      </c>
      <c r="K94" s="10" t="s">
        <v>13</v>
      </c>
      <c r="L94" s="17" t="s">
        <v>1983</v>
      </c>
      <c r="M94" s="15" t="s">
        <v>137</v>
      </c>
      <c r="N94" s="19"/>
    </row>
    <row r="95" spans="1:14" ht="42" x14ac:dyDescent="0.35">
      <c r="A95" s="9" t="s">
        <v>351</v>
      </c>
      <c r="B95" s="10" t="s">
        <v>135</v>
      </c>
      <c r="C95" s="10" t="s">
        <v>472</v>
      </c>
      <c r="D95" s="10">
        <v>10</v>
      </c>
      <c r="E95" s="10" t="s">
        <v>91</v>
      </c>
      <c r="F95" s="10" t="s">
        <v>467</v>
      </c>
      <c r="G95" s="10" t="s">
        <v>473</v>
      </c>
      <c r="H95" s="10" t="s">
        <v>474</v>
      </c>
      <c r="I95" s="10" t="s">
        <v>54</v>
      </c>
      <c r="J95" s="10" t="s">
        <v>2060</v>
      </c>
      <c r="K95" s="10" t="s">
        <v>10</v>
      </c>
      <c r="L95" s="22" t="s">
        <v>1985</v>
      </c>
      <c r="M95" s="15" t="s">
        <v>137</v>
      </c>
      <c r="N95" s="22" t="s">
        <v>1989</v>
      </c>
    </row>
    <row r="96" spans="1:14" ht="56" x14ac:dyDescent="0.35">
      <c r="A96" s="9" t="s">
        <v>352</v>
      </c>
      <c r="B96" s="10" t="s">
        <v>135</v>
      </c>
      <c r="C96" s="10" t="s">
        <v>475</v>
      </c>
      <c r="D96" s="10">
        <v>8</v>
      </c>
      <c r="E96" s="10" t="s">
        <v>91</v>
      </c>
      <c r="F96" s="10" t="s">
        <v>476</v>
      </c>
      <c r="G96" s="10" t="s">
        <v>477</v>
      </c>
      <c r="H96" s="10" t="s">
        <v>2079</v>
      </c>
      <c r="I96" s="10" t="s">
        <v>478</v>
      </c>
      <c r="J96" s="10" t="s">
        <v>2080</v>
      </c>
      <c r="K96" s="10" t="s">
        <v>10</v>
      </c>
      <c r="L96" s="17" t="s">
        <v>1983</v>
      </c>
      <c r="M96" s="15" t="s">
        <v>137</v>
      </c>
      <c r="N96" s="19"/>
    </row>
    <row r="97" spans="1:14" ht="42" x14ac:dyDescent="0.35">
      <c r="A97" s="9" t="s">
        <v>353</v>
      </c>
      <c r="B97" s="10" t="s">
        <v>135</v>
      </c>
      <c r="C97" s="10" t="s">
        <v>479</v>
      </c>
      <c r="D97" s="10">
        <v>7</v>
      </c>
      <c r="E97" s="10" t="s">
        <v>19</v>
      </c>
      <c r="F97" s="10" t="s">
        <v>476</v>
      </c>
      <c r="G97" s="10" t="s">
        <v>480</v>
      </c>
      <c r="H97" s="10" t="s">
        <v>2077</v>
      </c>
      <c r="I97" s="10" t="s">
        <v>481</v>
      </c>
      <c r="J97" s="10" t="s">
        <v>2078</v>
      </c>
      <c r="K97" s="10" t="s">
        <v>10</v>
      </c>
      <c r="L97" s="17" t="s">
        <v>1983</v>
      </c>
      <c r="M97" s="15" t="s">
        <v>137</v>
      </c>
      <c r="N97" s="19"/>
    </row>
    <row r="98" spans="1:14" ht="56" x14ac:dyDescent="0.35">
      <c r="A98" s="9" t="s">
        <v>354</v>
      </c>
      <c r="B98" s="10" t="s">
        <v>135</v>
      </c>
      <c r="C98" s="10" t="s">
        <v>482</v>
      </c>
      <c r="D98" s="10">
        <v>7</v>
      </c>
      <c r="E98" s="10" t="s">
        <v>19</v>
      </c>
      <c r="F98" s="10" t="s">
        <v>483</v>
      </c>
      <c r="G98" s="10" t="s">
        <v>484</v>
      </c>
      <c r="H98" s="10" t="s">
        <v>1990</v>
      </c>
      <c r="I98" s="10" t="s">
        <v>485</v>
      </c>
      <c r="J98" s="10" t="s">
        <v>2076</v>
      </c>
      <c r="K98" s="10" t="s">
        <v>10</v>
      </c>
      <c r="L98" s="17" t="s">
        <v>1983</v>
      </c>
      <c r="M98" s="15" t="s">
        <v>137</v>
      </c>
      <c r="N98" s="19"/>
    </row>
    <row r="99" spans="1:14" ht="42" x14ac:dyDescent="0.35">
      <c r="A99" s="9" t="s">
        <v>355</v>
      </c>
      <c r="B99" s="10" t="s">
        <v>135</v>
      </c>
      <c r="C99" s="10" t="s">
        <v>486</v>
      </c>
      <c r="D99" s="10">
        <v>7</v>
      </c>
      <c r="E99" s="10" t="s">
        <v>19</v>
      </c>
      <c r="F99" s="10" t="s">
        <v>483</v>
      </c>
      <c r="G99" s="10" t="s">
        <v>484</v>
      </c>
      <c r="H99" s="10" t="s">
        <v>2074</v>
      </c>
      <c r="I99" s="12" t="s">
        <v>487</v>
      </c>
      <c r="J99" s="10" t="s">
        <v>2075</v>
      </c>
      <c r="K99" s="10" t="s">
        <v>10</v>
      </c>
      <c r="L99" s="22" t="s">
        <v>1985</v>
      </c>
      <c r="M99" s="15" t="s">
        <v>137</v>
      </c>
      <c r="N99" s="19"/>
    </row>
    <row r="100" spans="1:14" ht="56" x14ac:dyDescent="0.35">
      <c r="A100" s="9" t="s">
        <v>356</v>
      </c>
      <c r="B100" s="10" t="s">
        <v>135</v>
      </c>
      <c r="C100" s="10" t="s">
        <v>488</v>
      </c>
      <c r="D100" s="10">
        <v>6</v>
      </c>
      <c r="E100" s="10" t="s">
        <v>483</v>
      </c>
      <c r="F100" s="10" t="s">
        <v>489</v>
      </c>
      <c r="G100" s="10" t="s">
        <v>484</v>
      </c>
      <c r="H100" s="10" t="s">
        <v>2072</v>
      </c>
      <c r="I100" s="10" t="s">
        <v>490</v>
      </c>
      <c r="J100" s="10" t="s">
        <v>2073</v>
      </c>
      <c r="K100" s="10" t="s">
        <v>13</v>
      </c>
      <c r="L100" s="17" t="s">
        <v>1983</v>
      </c>
      <c r="M100" s="15" t="s">
        <v>137</v>
      </c>
      <c r="N100" s="19"/>
    </row>
    <row r="101" spans="1:14" ht="42" x14ac:dyDescent="0.35">
      <c r="A101" s="9" t="s">
        <v>357</v>
      </c>
      <c r="B101" s="10" t="s">
        <v>135</v>
      </c>
      <c r="C101" s="10" t="s">
        <v>491</v>
      </c>
      <c r="D101" s="10">
        <v>5</v>
      </c>
      <c r="E101" s="10" t="s">
        <v>483</v>
      </c>
      <c r="F101" s="10" t="s">
        <v>489</v>
      </c>
      <c r="G101" s="10" t="s">
        <v>484</v>
      </c>
      <c r="H101" s="10" t="s">
        <v>2070</v>
      </c>
      <c r="I101" s="10" t="s">
        <v>492</v>
      </c>
      <c r="J101" s="10" t="s">
        <v>2071</v>
      </c>
      <c r="K101" s="10" t="s">
        <v>14</v>
      </c>
      <c r="L101" s="17" t="s">
        <v>1983</v>
      </c>
      <c r="M101" s="15" t="s">
        <v>137</v>
      </c>
      <c r="N101" s="19"/>
    </row>
    <row r="102" spans="1:14" ht="56" x14ac:dyDescent="0.35">
      <c r="A102" s="9" t="s">
        <v>358</v>
      </c>
      <c r="B102" s="10" t="s">
        <v>135</v>
      </c>
      <c r="C102" s="10" t="s">
        <v>493</v>
      </c>
      <c r="D102" s="10">
        <v>10</v>
      </c>
      <c r="E102" s="10" t="s">
        <v>19</v>
      </c>
      <c r="F102" s="10" t="s">
        <v>494</v>
      </c>
      <c r="G102" s="10" t="s">
        <v>495</v>
      </c>
      <c r="H102" s="10" t="s">
        <v>2068</v>
      </c>
      <c r="I102" s="10" t="s">
        <v>54</v>
      </c>
      <c r="J102" s="10" t="s">
        <v>2069</v>
      </c>
      <c r="K102" s="10" t="s">
        <v>10</v>
      </c>
      <c r="L102" s="17" t="s">
        <v>1983</v>
      </c>
      <c r="M102" s="15" t="s">
        <v>137</v>
      </c>
      <c r="N102" s="19"/>
    </row>
    <row r="103" spans="1:14" ht="42" x14ac:dyDescent="0.35">
      <c r="A103" s="9" t="s">
        <v>359</v>
      </c>
      <c r="B103" s="10" t="s">
        <v>135</v>
      </c>
      <c r="C103" s="10" t="s">
        <v>496</v>
      </c>
      <c r="D103" s="10">
        <v>6</v>
      </c>
      <c r="E103" s="10" t="s">
        <v>19</v>
      </c>
      <c r="F103" s="10" t="s">
        <v>497</v>
      </c>
      <c r="G103" s="10" t="s">
        <v>54</v>
      </c>
      <c r="H103" s="10" t="s">
        <v>498</v>
      </c>
      <c r="I103" s="10" t="s">
        <v>54</v>
      </c>
      <c r="J103" s="10" t="s">
        <v>2067</v>
      </c>
      <c r="K103" s="10" t="s">
        <v>10</v>
      </c>
      <c r="L103" s="22" t="s">
        <v>1985</v>
      </c>
      <c r="M103" s="15" t="s">
        <v>137</v>
      </c>
      <c r="N103" s="23" t="s">
        <v>1991</v>
      </c>
    </row>
    <row r="104" spans="1:14" ht="28" x14ac:dyDescent="0.35">
      <c r="A104" s="9" t="s">
        <v>360</v>
      </c>
      <c r="B104" s="10" t="s">
        <v>135</v>
      </c>
      <c r="C104" s="10" t="s">
        <v>499</v>
      </c>
      <c r="D104" s="10">
        <v>6</v>
      </c>
      <c r="E104" s="10" t="s">
        <v>19</v>
      </c>
      <c r="F104" s="10" t="s">
        <v>497</v>
      </c>
      <c r="G104" s="10" t="s">
        <v>500</v>
      </c>
      <c r="H104" s="10" t="s">
        <v>501</v>
      </c>
      <c r="I104" s="10" t="s">
        <v>54</v>
      </c>
      <c r="J104" s="10" t="s">
        <v>2066</v>
      </c>
      <c r="K104" s="10" t="s">
        <v>10</v>
      </c>
      <c r="L104" s="22" t="s">
        <v>1985</v>
      </c>
      <c r="M104" s="15" t="s">
        <v>137</v>
      </c>
      <c r="N104" s="19"/>
    </row>
    <row r="105" spans="1:14" ht="42" x14ac:dyDescent="0.35">
      <c r="A105" s="9" t="s">
        <v>361</v>
      </c>
      <c r="B105" s="10" t="s">
        <v>135</v>
      </c>
      <c r="C105" s="10" t="s">
        <v>503</v>
      </c>
      <c r="D105" s="10">
        <v>12</v>
      </c>
      <c r="E105" s="10" t="s">
        <v>91</v>
      </c>
      <c r="F105" s="10" t="s">
        <v>313</v>
      </c>
      <c r="G105" s="10" t="s">
        <v>504</v>
      </c>
      <c r="H105" s="10" t="s">
        <v>505</v>
      </c>
      <c r="I105" s="10" t="s">
        <v>54</v>
      </c>
      <c r="J105" s="10" t="s">
        <v>2065</v>
      </c>
      <c r="K105" s="10" t="s">
        <v>10</v>
      </c>
      <c r="L105" s="17" t="s">
        <v>1983</v>
      </c>
      <c r="M105" s="15" t="s">
        <v>137</v>
      </c>
      <c r="N105" s="19"/>
    </row>
    <row r="106" spans="1:14" ht="42" x14ac:dyDescent="0.35">
      <c r="A106" s="9" t="s">
        <v>362</v>
      </c>
      <c r="B106" s="10" t="s">
        <v>135</v>
      </c>
      <c r="C106" s="10" t="s">
        <v>507</v>
      </c>
      <c r="D106" s="10">
        <v>15</v>
      </c>
      <c r="E106" s="10" t="s">
        <v>200</v>
      </c>
      <c r="F106" s="10" t="s">
        <v>508</v>
      </c>
      <c r="G106" s="10" t="s">
        <v>468</v>
      </c>
      <c r="H106" s="10" t="s">
        <v>2063</v>
      </c>
      <c r="I106" s="10" t="s">
        <v>54</v>
      </c>
      <c r="J106" s="10" t="s">
        <v>2064</v>
      </c>
      <c r="K106" s="10" t="s">
        <v>13</v>
      </c>
      <c r="L106" s="22" t="s">
        <v>1985</v>
      </c>
      <c r="M106" s="15" t="s">
        <v>137</v>
      </c>
      <c r="N106" s="19"/>
    </row>
    <row r="107" spans="1:14" ht="42" x14ac:dyDescent="0.35">
      <c r="A107" s="9" t="s">
        <v>363</v>
      </c>
      <c r="B107" s="10" t="s">
        <v>135</v>
      </c>
      <c r="C107" s="10" t="s">
        <v>510</v>
      </c>
      <c r="D107" s="10">
        <v>15</v>
      </c>
      <c r="E107" s="10" t="s">
        <v>200</v>
      </c>
      <c r="F107" s="10" t="s">
        <v>511</v>
      </c>
      <c r="G107" s="10" t="s">
        <v>512</v>
      </c>
      <c r="H107" s="10" t="s">
        <v>2061</v>
      </c>
      <c r="I107" s="10" t="s">
        <v>54</v>
      </c>
      <c r="J107" s="10" t="s">
        <v>2062</v>
      </c>
      <c r="K107" s="10" t="s">
        <v>13</v>
      </c>
      <c r="L107" s="22" t="s">
        <v>1985</v>
      </c>
      <c r="M107" s="15" t="s">
        <v>137</v>
      </c>
      <c r="N107" s="19"/>
    </row>
  </sheetData>
  <mergeCells count="1">
    <mergeCell ref="E1:G1"/>
  </mergeCells>
  <phoneticPr fontId="1" type="noConversion"/>
  <dataValidations count="2">
    <dataValidation type="list" allowBlank="1" showInputMessage="1" showErrorMessage="1" sqref="I8:I66" xr:uid="{E6C708A1-8303-4123-BA5D-291C0E901A1D}">
      <formula1>"HIGH, NORMAL, LOW"</formula1>
    </dataValidation>
    <dataValidation type="list" allowBlank="1" showInputMessage="1" showErrorMessage="1" sqref="L8:L107" xr:uid="{52625B67-81EF-4FE8-937F-78548E8656D1}">
      <formula1>"PASS, FAIL, BLOCKED"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D1E32-9A54-44C6-8929-640DDE7B8A1A}">
  <dimension ref="A1:N107"/>
  <sheetViews>
    <sheetView topLeftCell="A6" zoomScale="55" zoomScaleNormal="55" workbookViewId="0">
      <selection activeCell="J72" sqref="J72"/>
    </sheetView>
  </sheetViews>
  <sheetFormatPr defaultRowHeight="14.5" x14ac:dyDescent="0.35"/>
  <cols>
    <col min="1" max="1" width="14.81640625" style="2" customWidth="1"/>
    <col min="2" max="2" width="32.1796875" style="8" customWidth="1"/>
    <col min="3" max="3" width="40.1796875" style="2" customWidth="1"/>
    <col min="4" max="4" width="16.08984375" style="2" bestFit="1" customWidth="1"/>
    <col min="5" max="5" width="13.54296875" style="2" customWidth="1"/>
    <col min="6" max="6" width="14.90625" style="2" bestFit="1" customWidth="1"/>
    <col min="7" max="7" width="41.54296875" style="2" customWidth="1"/>
    <col min="8" max="8" width="35.453125" style="3" customWidth="1"/>
    <col min="9" max="9" width="18.08984375" style="2" customWidth="1"/>
    <col min="10" max="10" width="22.1796875" customWidth="1"/>
    <col min="11" max="12" width="14.08984375" customWidth="1"/>
    <col min="13" max="13" width="17.81640625" style="2" bestFit="1" customWidth="1"/>
    <col min="14" max="14" width="15" style="20" customWidth="1"/>
  </cols>
  <sheetData>
    <row r="1" spans="1:14" ht="22.5" x14ac:dyDescent="0.35">
      <c r="C1" s="19" t="s">
        <v>1996</v>
      </c>
      <c r="E1" s="26" t="s">
        <v>1992</v>
      </c>
      <c r="F1" s="26"/>
      <c r="G1" s="26"/>
    </row>
    <row r="2" spans="1:14" x14ac:dyDescent="0.35">
      <c r="C2" s="19">
        <v>100</v>
      </c>
      <c r="E2" s="14" t="s">
        <v>1980</v>
      </c>
      <c r="F2" s="14" t="s">
        <v>1993</v>
      </c>
      <c r="G2" s="14" t="s">
        <v>1994</v>
      </c>
    </row>
    <row r="3" spans="1:14" x14ac:dyDescent="0.35">
      <c r="E3" s="14" t="s">
        <v>1983</v>
      </c>
      <c r="F3" s="14">
        <f>COUNTIF(L8:L107,"PASS")</f>
        <v>73</v>
      </c>
      <c r="G3" s="24">
        <f>F3/$C$2</f>
        <v>0.73</v>
      </c>
    </row>
    <row r="4" spans="1:14" x14ac:dyDescent="0.35">
      <c r="E4" s="14" t="s">
        <v>1981</v>
      </c>
      <c r="F4" s="14">
        <f>COUNTIF(L8:L107,"FAIL")</f>
        <v>3</v>
      </c>
      <c r="G4" s="24">
        <f t="shared" ref="G4:G5" si="0">F4/$C$2</f>
        <v>0.03</v>
      </c>
    </row>
    <row r="5" spans="1:14" x14ac:dyDescent="0.35">
      <c r="E5" s="14" t="s">
        <v>1985</v>
      </c>
      <c r="F5" s="14">
        <f>COUNTIF(L8:L107,"BLOCKED")</f>
        <v>24</v>
      </c>
      <c r="G5" s="24">
        <f t="shared" si="0"/>
        <v>0.24</v>
      </c>
    </row>
    <row r="7" spans="1:14" s="4" customFormat="1" ht="14" x14ac:dyDescent="0.3">
      <c r="A7" s="6" t="s">
        <v>0</v>
      </c>
      <c r="B7" s="5" t="s">
        <v>21</v>
      </c>
      <c r="C7" s="7" t="s">
        <v>1</v>
      </c>
      <c r="D7" s="5" t="s">
        <v>2</v>
      </c>
      <c r="E7" s="5" t="s">
        <v>11</v>
      </c>
      <c r="F7" s="5" t="s">
        <v>3</v>
      </c>
      <c r="G7" s="5" t="s">
        <v>22</v>
      </c>
      <c r="H7" s="5" t="s">
        <v>4</v>
      </c>
      <c r="I7" s="5" t="s">
        <v>23</v>
      </c>
      <c r="J7" s="5" t="s">
        <v>5</v>
      </c>
      <c r="K7" s="5" t="s">
        <v>6</v>
      </c>
      <c r="L7" s="5" t="s">
        <v>1980</v>
      </c>
      <c r="M7" s="5" t="s">
        <v>7</v>
      </c>
      <c r="N7" s="5" t="s">
        <v>1982</v>
      </c>
    </row>
    <row r="8" spans="1:14" ht="84" x14ac:dyDescent="0.35">
      <c r="A8" s="9" t="s">
        <v>513</v>
      </c>
      <c r="B8" s="10" t="s">
        <v>135</v>
      </c>
      <c r="C8" s="11" t="s">
        <v>9</v>
      </c>
      <c r="D8" s="10">
        <v>5</v>
      </c>
      <c r="E8" s="10" t="s">
        <v>8</v>
      </c>
      <c r="F8" s="10" t="s">
        <v>26</v>
      </c>
      <c r="G8" s="10" t="s">
        <v>613</v>
      </c>
      <c r="H8" s="10" t="s">
        <v>653</v>
      </c>
      <c r="I8" s="10" t="s">
        <v>614</v>
      </c>
      <c r="J8" s="10" t="s">
        <v>2082</v>
      </c>
      <c r="K8" s="10" t="s">
        <v>10</v>
      </c>
      <c r="L8" s="17" t="s">
        <v>1983</v>
      </c>
      <c r="M8" s="10" t="s">
        <v>137</v>
      </c>
      <c r="N8" s="21"/>
    </row>
    <row r="9" spans="1:14" ht="70" x14ac:dyDescent="0.35">
      <c r="A9" s="9" t="s">
        <v>514</v>
      </c>
      <c r="B9" s="10" t="s">
        <v>135</v>
      </c>
      <c r="C9" s="11" t="s">
        <v>615</v>
      </c>
      <c r="D9" s="10">
        <v>3</v>
      </c>
      <c r="E9" s="10" t="s">
        <v>8</v>
      </c>
      <c r="F9" s="10" t="s">
        <v>26</v>
      </c>
      <c r="G9" s="10" t="s">
        <v>616</v>
      </c>
      <c r="H9" s="10" t="s">
        <v>654</v>
      </c>
      <c r="I9" s="10" t="s">
        <v>178</v>
      </c>
      <c r="J9" s="10" t="s">
        <v>2081</v>
      </c>
      <c r="K9" s="10" t="s">
        <v>10</v>
      </c>
      <c r="L9" s="17" t="s">
        <v>1983</v>
      </c>
      <c r="M9" s="10" t="s">
        <v>137</v>
      </c>
      <c r="N9" s="21"/>
    </row>
    <row r="10" spans="1:14" ht="56" x14ac:dyDescent="0.35">
      <c r="A10" s="9" t="s">
        <v>515</v>
      </c>
      <c r="B10" s="10" t="s">
        <v>135</v>
      </c>
      <c r="C10" s="11" t="s">
        <v>617</v>
      </c>
      <c r="D10" s="10">
        <v>3</v>
      </c>
      <c r="E10" s="10" t="s">
        <v>8</v>
      </c>
      <c r="F10" s="10" t="s">
        <v>26</v>
      </c>
      <c r="G10" s="10" t="s">
        <v>468</v>
      </c>
      <c r="H10" s="10" t="s">
        <v>655</v>
      </c>
      <c r="I10" s="10" t="s">
        <v>618</v>
      </c>
      <c r="J10" s="10" t="s">
        <v>659</v>
      </c>
      <c r="K10" s="10" t="s">
        <v>10</v>
      </c>
      <c r="L10" s="17" t="s">
        <v>1983</v>
      </c>
      <c r="M10" s="10" t="s">
        <v>137</v>
      </c>
      <c r="N10" s="21"/>
    </row>
    <row r="11" spans="1:14" ht="98" x14ac:dyDescent="0.35">
      <c r="A11" s="9" t="s">
        <v>516</v>
      </c>
      <c r="B11" s="10" t="s">
        <v>135</v>
      </c>
      <c r="C11" s="11" t="s">
        <v>619</v>
      </c>
      <c r="D11" s="10">
        <v>4</v>
      </c>
      <c r="E11" s="10" t="s">
        <v>8</v>
      </c>
      <c r="F11" s="10" t="s">
        <v>26</v>
      </c>
      <c r="G11" s="10" t="s">
        <v>616</v>
      </c>
      <c r="H11" s="10" t="s">
        <v>656</v>
      </c>
      <c r="I11" s="10" t="s">
        <v>620</v>
      </c>
      <c r="J11" s="10" t="s">
        <v>2083</v>
      </c>
      <c r="K11" s="10" t="s">
        <v>10</v>
      </c>
      <c r="L11" s="16" t="s">
        <v>1981</v>
      </c>
      <c r="M11" s="10" t="s">
        <v>137</v>
      </c>
      <c r="N11" s="21" t="s">
        <v>1998</v>
      </c>
    </row>
    <row r="12" spans="1:14" ht="56" x14ac:dyDescent="0.35">
      <c r="A12" s="9" t="s">
        <v>517</v>
      </c>
      <c r="B12" s="10" t="s">
        <v>135</v>
      </c>
      <c r="C12" s="11" t="s">
        <v>621</v>
      </c>
      <c r="D12" s="10">
        <v>4</v>
      </c>
      <c r="E12" s="10" t="s">
        <v>8</v>
      </c>
      <c r="F12" s="10" t="s">
        <v>26</v>
      </c>
      <c r="G12" s="10" t="s">
        <v>616</v>
      </c>
      <c r="H12" s="10" t="s">
        <v>657</v>
      </c>
      <c r="I12" s="10" t="s">
        <v>622</v>
      </c>
      <c r="J12" s="10" t="s">
        <v>2084</v>
      </c>
      <c r="K12" s="10" t="s">
        <v>13</v>
      </c>
      <c r="L12" s="17" t="s">
        <v>1983</v>
      </c>
      <c r="M12" s="10" t="s">
        <v>137</v>
      </c>
      <c r="N12" s="21"/>
    </row>
    <row r="13" spans="1:14" ht="56" x14ac:dyDescent="0.35">
      <c r="A13" s="9" t="s">
        <v>518</v>
      </c>
      <c r="B13" s="10" t="s">
        <v>135</v>
      </c>
      <c r="C13" s="11" t="s">
        <v>623</v>
      </c>
      <c r="D13" s="10">
        <v>4</v>
      </c>
      <c r="E13" s="10" t="s">
        <v>8</v>
      </c>
      <c r="F13" s="10" t="s">
        <v>26</v>
      </c>
      <c r="G13" s="10" t="s">
        <v>616</v>
      </c>
      <c r="H13" s="10" t="s">
        <v>658</v>
      </c>
      <c r="I13" s="10" t="s">
        <v>624</v>
      </c>
      <c r="J13" s="10" t="s">
        <v>660</v>
      </c>
      <c r="K13" s="10" t="s">
        <v>10</v>
      </c>
      <c r="L13" s="17" t="s">
        <v>1983</v>
      </c>
      <c r="M13" s="10" t="s">
        <v>137</v>
      </c>
      <c r="N13" s="21"/>
    </row>
    <row r="14" spans="1:14" ht="70" x14ac:dyDescent="0.35">
      <c r="A14" s="9" t="s">
        <v>519</v>
      </c>
      <c r="B14" s="10" t="s">
        <v>135</v>
      </c>
      <c r="C14" s="11" t="s">
        <v>625</v>
      </c>
      <c r="D14" s="10">
        <v>4</v>
      </c>
      <c r="E14" s="10" t="s">
        <v>8</v>
      </c>
      <c r="F14" s="10" t="s">
        <v>26</v>
      </c>
      <c r="G14" s="10" t="s">
        <v>626</v>
      </c>
      <c r="H14" s="10" t="s">
        <v>2086</v>
      </c>
      <c r="I14" s="10" t="s">
        <v>627</v>
      </c>
      <c r="J14" s="10" t="s">
        <v>2085</v>
      </c>
      <c r="K14" s="10" t="s">
        <v>13</v>
      </c>
      <c r="L14" s="17" t="s">
        <v>1983</v>
      </c>
      <c r="M14" s="10" t="s">
        <v>137</v>
      </c>
      <c r="N14" s="21"/>
    </row>
    <row r="15" spans="1:14" ht="56" x14ac:dyDescent="0.35">
      <c r="A15" s="9" t="s">
        <v>520</v>
      </c>
      <c r="B15" s="10" t="s">
        <v>135</v>
      </c>
      <c r="C15" s="11" t="s">
        <v>628</v>
      </c>
      <c r="D15" s="10">
        <v>4</v>
      </c>
      <c r="E15" s="10" t="s">
        <v>8</v>
      </c>
      <c r="F15" s="10" t="s">
        <v>26</v>
      </c>
      <c r="G15" s="10" t="s">
        <v>616</v>
      </c>
      <c r="H15" s="10" t="s">
        <v>662</v>
      </c>
      <c r="I15" s="10" t="s">
        <v>629</v>
      </c>
      <c r="J15" s="10" t="s">
        <v>661</v>
      </c>
      <c r="K15" s="10" t="s">
        <v>13</v>
      </c>
      <c r="L15" s="17" t="s">
        <v>1983</v>
      </c>
      <c r="M15" s="10" t="s">
        <v>137</v>
      </c>
      <c r="N15" s="19"/>
    </row>
    <row r="16" spans="1:14" ht="42" x14ac:dyDescent="0.35">
      <c r="A16" s="9" t="s">
        <v>521</v>
      </c>
      <c r="B16" s="10" t="s">
        <v>135</v>
      </c>
      <c r="C16" s="11" t="s">
        <v>630</v>
      </c>
      <c r="D16" s="10">
        <v>2</v>
      </c>
      <c r="E16" s="10" t="s">
        <v>8</v>
      </c>
      <c r="F16" s="10" t="s">
        <v>26</v>
      </c>
      <c r="G16" s="10" t="s">
        <v>616</v>
      </c>
      <c r="H16" s="10" t="s">
        <v>663</v>
      </c>
      <c r="I16" s="10" t="s">
        <v>54</v>
      </c>
      <c r="J16" s="10" t="s">
        <v>2087</v>
      </c>
      <c r="K16" s="10" t="s">
        <v>14</v>
      </c>
      <c r="L16" s="17" t="s">
        <v>1983</v>
      </c>
      <c r="M16" s="10" t="s">
        <v>137</v>
      </c>
      <c r="N16" s="19"/>
    </row>
    <row r="17" spans="1:14" ht="42" x14ac:dyDescent="0.35">
      <c r="A17" s="9" t="s">
        <v>522</v>
      </c>
      <c r="B17" s="10" t="s">
        <v>135</v>
      </c>
      <c r="C17" s="11" t="s">
        <v>15</v>
      </c>
      <c r="D17" s="10">
        <v>3</v>
      </c>
      <c r="E17" s="10" t="s">
        <v>8</v>
      </c>
      <c r="F17" s="10" t="s">
        <v>57</v>
      </c>
      <c r="G17" s="10" t="s">
        <v>631</v>
      </c>
      <c r="H17" s="10" t="s">
        <v>664</v>
      </c>
      <c r="I17" s="10" t="s">
        <v>632</v>
      </c>
      <c r="J17" s="10" t="s">
        <v>665</v>
      </c>
      <c r="K17" s="10" t="s">
        <v>10</v>
      </c>
      <c r="L17" s="17" t="s">
        <v>1983</v>
      </c>
      <c r="M17" s="10" t="s">
        <v>137</v>
      </c>
      <c r="N17" s="19"/>
    </row>
    <row r="18" spans="1:14" ht="42" x14ac:dyDescent="0.35">
      <c r="A18" s="9" t="s">
        <v>523</v>
      </c>
      <c r="B18" s="10" t="s">
        <v>135</v>
      </c>
      <c r="C18" s="11" t="s">
        <v>633</v>
      </c>
      <c r="D18" s="10">
        <v>3</v>
      </c>
      <c r="E18" s="10" t="s">
        <v>8</v>
      </c>
      <c r="F18" s="10" t="s">
        <v>57</v>
      </c>
      <c r="G18" s="10" t="s">
        <v>634</v>
      </c>
      <c r="H18" s="10" t="s">
        <v>666</v>
      </c>
      <c r="I18" s="10" t="s">
        <v>63</v>
      </c>
      <c r="J18" s="10" t="s">
        <v>667</v>
      </c>
      <c r="K18" s="10" t="s">
        <v>13</v>
      </c>
      <c r="L18" s="17" t="s">
        <v>1983</v>
      </c>
      <c r="M18" s="10" t="s">
        <v>137</v>
      </c>
      <c r="N18" s="19"/>
    </row>
    <row r="19" spans="1:14" ht="42" x14ac:dyDescent="0.35">
      <c r="A19" s="9" t="s">
        <v>524</v>
      </c>
      <c r="B19" s="10" t="s">
        <v>135</v>
      </c>
      <c r="C19" s="11" t="s">
        <v>16</v>
      </c>
      <c r="D19" s="10">
        <v>3</v>
      </c>
      <c r="E19" s="10" t="s">
        <v>8</v>
      </c>
      <c r="F19" s="10" t="s">
        <v>57</v>
      </c>
      <c r="G19" s="10" t="s">
        <v>635</v>
      </c>
      <c r="H19" s="10" t="s">
        <v>668</v>
      </c>
      <c r="I19" s="10" t="s">
        <v>636</v>
      </c>
      <c r="J19" s="10" t="s">
        <v>669</v>
      </c>
      <c r="K19" s="10" t="s">
        <v>13</v>
      </c>
      <c r="L19" s="17" t="s">
        <v>1983</v>
      </c>
      <c r="M19" s="10" t="s">
        <v>137</v>
      </c>
      <c r="N19" s="19"/>
    </row>
    <row r="20" spans="1:14" ht="42" x14ac:dyDescent="0.35">
      <c r="A20" s="9" t="s">
        <v>525</v>
      </c>
      <c r="B20" s="10" t="s">
        <v>135</v>
      </c>
      <c r="C20" s="11" t="s">
        <v>17</v>
      </c>
      <c r="D20" s="10">
        <v>3</v>
      </c>
      <c r="E20" s="10" t="s">
        <v>8</v>
      </c>
      <c r="F20" s="10" t="s">
        <v>57</v>
      </c>
      <c r="G20" s="10" t="s">
        <v>637</v>
      </c>
      <c r="H20" s="10" t="s">
        <v>160</v>
      </c>
      <c r="I20" s="10">
        <v>1</v>
      </c>
      <c r="J20" s="10" t="s">
        <v>671</v>
      </c>
      <c r="K20" s="10" t="s">
        <v>13</v>
      </c>
      <c r="L20" s="17" t="s">
        <v>1983</v>
      </c>
      <c r="M20" s="10" t="s">
        <v>137</v>
      </c>
      <c r="N20" s="19"/>
    </row>
    <row r="21" spans="1:14" ht="42" x14ac:dyDescent="0.35">
      <c r="A21" s="9" t="s">
        <v>526</v>
      </c>
      <c r="B21" s="10" t="s">
        <v>135</v>
      </c>
      <c r="C21" s="11" t="s">
        <v>18</v>
      </c>
      <c r="D21" s="10">
        <v>3</v>
      </c>
      <c r="E21" s="10" t="s">
        <v>8</v>
      </c>
      <c r="F21" s="10" t="s">
        <v>57</v>
      </c>
      <c r="G21" s="10" t="s">
        <v>638</v>
      </c>
      <c r="H21" s="10" t="s">
        <v>670</v>
      </c>
      <c r="I21" s="10" t="s">
        <v>639</v>
      </c>
      <c r="J21" s="10" t="s">
        <v>665</v>
      </c>
      <c r="K21" s="10" t="s">
        <v>13</v>
      </c>
      <c r="L21" s="17" t="s">
        <v>1983</v>
      </c>
      <c r="M21" s="10" t="s">
        <v>137</v>
      </c>
      <c r="N21" s="19"/>
    </row>
    <row r="22" spans="1:14" ht="42" x14ac:dyDescent="0.35">
      <c r="A22" s="9" t="s">
        <v>527</v>
      </c>
      <c r="B22" s="10" t="s">
        <v>135</v>
      </c>
      <c r="C22" s="11" t="s">
        <v>640</v>
      </c>
      <c r="D22" s="10">
        <v>2</v>
      </c>
      <c r="E22" s="10" t="s">
        <v>8</v>
      </c>
      <c r="F22" s="10" t="s">
        <v>57</v>
      </c>
      <c r="G22" s="10" t="s">
        <v>641</v>
      </c>
      <c r="H22" s="10" t="s">
        <v>164</v>
      </c>
      <c r="I22" s="10" t="s">
        <v>54</v>
      </c>
      <c r="J22" s="10" t="s">
        <v>2088</v>
      </c>
      <c r="K22" s="10" t="s">
        <v>14</v>
      </c>
      <c r="L22" s="17" t="s">
        <v>1983</v>
      </c>
      <c r="M22" s="10" t="s">
        <v>137</v>
      </c>
      <c r="N22" s="19"/>
    </row>
    <row r="23" spans="1:14" ht="42" x14ac:dyDescent="0.35">
      <c r="A23" s="9" t="s">
        <v>528</v>
      </c>
      <c r="B23" s="10" t="s">
        <v>135</v>
      </c>
      <c r="C23" s="11" t="s">
        <v>642</v>
      </c>
      <c r="D23" s="10">
        <v>3</v>
      </c>
      <c r="E23" s="10" t="s">
        <v>8</v>
      </c>
      <c r="F23" s="10" t="s">
        <v>57</v>
      </c>
      <c r="G23" s="10" t="s">
        <v>643</v>
      </c>
      <c r="H23" s="10" t="s">
        <v>672</v>
      </c>
      <c r="I23" s="10" t="s">
        <v>644</v>
      </c>
      <c r="J23" s="10" t="s">
        <v>665</v>
      </c>
      <c r="K23" s="10" t="s">
        <v>14</v>
      </c>
      <c r="L23" s="17" t="s">
        <v>1983</v>
      </c>
      <c r="M23" s="10" t="s">
        <v>137</v>
      </c>
      <c r="N23" s="19"/>
    </row>
    <row r="24" spans="1:14" ht="42" x14ac:dyDescent="0.35">
      <c r="A24" s="9" t="s">
        <v>529</v>
      </c>
      <c r="B24" s="10" t="s">
        <v>135</v>
      </c>
      <c r="C24" s="11" t="s">
        <v>645</v>
      </c>
      <c r="D24" s="10">
        <v>3</v>
      </c>
      <c r="E24" s="10" t="s">
        <v>8</v>
      </c>
      <c r="F24" s="10" t="s">
        <v>57</v>
      </c>
      <c r="G24" s="10" t="s">
        <v>646</v>
      </c>
      <c r="H24" s="10" t="s">
        <v>673</v>
      </c>
      <c r="I24" s="10" t="s">
        <v>647</v>
      </c>
      <c r="J24" s="10" t="s">
        <v>674</v>
      </c>
      <c r="K24" s="10" t="s">
        <v>13</v>
      </c>
      <c r="L24" s="17" t="s">
        <v>1983</v>
      </c>
      <c r="M24" s="10" t="s">
        <v>137</v>
      </c>
      <c r="N24" s="19"/>
    </row>
    <row r="25" spans="1:14" ht="56" x14ac:dyDescent="0.35">
      <c r="A25" s="9" t="s">
        <v>530</v>
      </c>
      <c r="B25" s="10" t="s">
        <v>135</v>
      </c>
      <c r="C25" s="11" t="s">
        <v>648</v>
      </c>
      <c r="D25" s="10">
        <v>5</v>
      </c>
      <c r="E25" s="10" t="s">
        <v>19</v>
      </c>
      <c r="F25" s="10" t="s">
        <v>57</v>
      </c>
      <c r="G25" s="10" t="s">
        <v>634</v>
      </c>
      <c r="H25" s="10" t="s">
        <v>1614</v>
      </c>
      <c r="I25" s="12" t="s">
        <v>88</v>
      </c>
      <c r="J25" s="10" t="s">
        <v>675</v>
      </c>
      <c r="K25" s="10" t="s">
        <v>10</v>
      </c>
      <c r="L25" s="22" t="s">
        <v>1985</v>
      </c>
      <c r="M25" s="10" t="s">
        <v>137</v>
      </c>
      <c r="N25" s="22" t="s">
        <v>1986</v>
      </c>
    </row>
    <row r="26" spans="1:14" ht="56" x14ac:dyDescent="0.35">
      <c r="A26" s="9" t="s">
        <v>531</v>
      </c>
      <c r="B26" s="10" t="s">
        <v>135</v>
      </c>
      <c r="C26" s="11" t="s">
        <v>649</v>
      </c>
      <c r="D26" s="10">
        <v>5</v>
      </c>
      <c r="E26" s="10" t="s">
        <v>91</v>
      </c>
      <c r="F26" s="10" t="s">
        <v>57</v>
      </c>
      <c r="G26" s="10" t="s">
        <v>634</v>
      </c>
      <c r="H26" s="10" t="s">
        <v>170</v>
      </c>
      <c r="I26" s="10" t="s">
        <v>650</v>
      </c>
      <c r="J26" s="10" t="s">
        <v>676</v>
      </c>
      <c r="K26" s="10" t="s">
        <v>13</v>
      </c>
      <c r="L26" s="22" t="s">
        <v>1985</v>
      </c>
      <c r="M26" s="10" t="s">
        <v>137</v>
      </c>
      <c r="N26" s="22" t="s">
        <v>1997</v>
      </c>
    </row>
    <row r="27" spans="1:14" ht="70" x14ac:dyDescent="0.35">
      <c r="A27" s="9" t="s">
        <v>532</v>
      </c>
      <c r="B27" s="10" t="s">
        <v>135</v>
      </c>
      <c r="C27" s="11" t="s">
        <v>651</v>
      </c>
      <c r="D27" s="10">
        <v>4</v>
      </c>
      <c r="E27" s="10" t="s">
        <v>8</v>
      </c>
      <c r="F27" s="10" t="s">
        <v>57</v>
      </c>
      <c r="G27" s="10" t="s">
        <v>652</v>
      </c>
      <c r="H27" s="10" t="s">
        <v>160</v>
      </c>
      <c r="I27" s="10" t="s">
        <v>71</v>
      </c>
      <c r="J27" s="10" t="s">
        <v>677</v>
      </c>
      <c r="K27" s="10" t="s">
        <v>13</v>
      </c>
      <c r="L27" s="17" t="s">
        <v>1983</v>
      </c>
      <c r="M27" s="10" t="s">
        <v>137</v>
      </c>
      <c r="N27" s="19"/>
    </row>
    <row r="28" spans="1:14" ht="56" x14ac:dyDescent="0.35">
      <c r="A28" s="9" t="s">
        <v>533</v>
      </c>
      <c r="B28" s="10" t="s">
        <v>135</v>
      </c>
      <c r="C28" s="11" t="s">
        <v>678</v>
      </c>
      <c r="D28" s="10">
        <v>4</v>
      </c>
      <c r="E28" s="10" t="s">
        <v>8</v>
      </c>
      <c r="F28" s="10" t="s">
        <v>174</v>
      </c>
      <c r="G28" s="10" t="s">
        <v>679</v>
      </c>
      <c r="H28" s="10" t="s">
        <v>733</v>
      </c>
      <c r="I28" s="10" t="s">
        <v>283</v>
      </c>
      <c r="J28" s="10" t="s">
        <v>769</v>
      </c>
      <c r="K28" s="10" t="s">
        <v>10</v>
      </c>
      <c r="L28" s="17" t="s">
        <v>1983</v>
      </c>
      <c r="M28" s="10" t="s">
        <v>137</v>
      </c>
      <c r="N28" s="19"/>
    </row>
    <row r="29" spans="1:14" ht="42" x14ac:dyDescent="0.35">
      <c r="A29" s="9" t="s">
        <v>534</v>
      </c>
      <c r="B29" s="10" t="s">
        <v>135</v>
      </c>
      <c r="C29" s="11" t="s">
        <v>680</v>
      </c>
      <c r="D29" s="10">
        <v>4</v>
      </c>
      <c r="E29" s="10" t="s">
        <v>8</v>
      </c>
      <c r="F29" s="10" t="s">
        <v>174</v>
      </c>
      <c r="G29" s="10" t="s">
        <v>681</v>
      </c>
      <c r="H29" s="10" t="s">
        <v>734</v>
      </c>
      <c r="I29" s="10" t="s">
        <v>422</v>
      </c>
      <c r="J29" s="10" t="s">
        <v>661</v>
      </c>
      <c r="K29" s="10" t="s">
        <v>13</v>
      </c>
      <c r="L29" s="17" t="s">
        <v>1983</v>
      </c>
      <c r="M29" s="10" t="s">
        <v>137</v>
      </c>
      <c r="N29" s="19"/>
    </row>
    <row r="30" spans="1:14" ht="42" x14ac:dyDescent="0.35">
      <c r="A30" s="9" t="s">
        <v>535</v>
      </c>
      <c r="B30" s="10" t="s">
        <v>135</v>
      </c>
      <c r="C30" s="11" t="s">
        <v>682</v>
      </c>
      <c r="D30" s="10">
        <v>3</v>
      </c>
      <c r="E30" s="10" t="s">
        <v>8</v>
      </c>
      <c r="F30" s="10" t="s">
        <v>174</v>
      </c>
      <c r="G30" s="10" t="s">
        <v>683</v>
      </c>
      <c r="H30" s="10" t="s">
        <v>735</v>
      </c>
      <c r="I30" s="10" t="s">
        <v>639</v>
      </c>
      <c r="J30" s="10" t="s">
        <v>768</v>
      </c>
      <c r="K30" s="10" t="s">
        <v>13</v>
      </c>
      <c r="L30" s="17" t="s">
        <v>1983</v>
      </c>
      <c r="M30" s="10" t="s">
        <v>137</v>
      </c>
      <c r="N30" s="19"/>
    </row>
    <row r="31" spans="1:14" ht="42" x14ac:dyDescent="0.35">
      <c r="A31" s="9" t="s">
        <v>536</v>
      </c>
      <c r="B31" s="10" t="s">
        <v>135</v>
      </c>
      <c r="C31" s="11" t="s">
        <v>684</v>
      </c>
      <c r="D31" s="10">
        <v>3</v>
      </c>
      <c r="E31" s="10" t="s">
        <v>8</v>
      </c>
      <c r="F31" s="10" t="s">
        <v>174</v>
      </c>
      <c r="G31" s="10" t="s">
        <v>685</v>
      </c>
      <c r="H31" s="10" t="s">
        <v>736</v>
      </c>
      <c r="I31" s="10" t="s">
        <v>686</v>
      </c>
      <c r="J31" s="10" t="s">
        <v>661</v>
      </c>
      <c r="K31" s="10" t="s">
        <v>13</v>
      </c>
      <c r="L31" s="17" t="s">
        <v>1983</v>
      </c>
      <c r="M31" s="10" t="s">
        <v>137</v>
      </c>
      <c r="N31" s="19"/>
    </row>
    <row r="32" spans="1:14" ht="56" x14ac:dyDescent="0.35">
      <c r="A32" s="9" t="s">
        <v>537</v>
      </c>
      <c r="B32" s="10" t="s">
        <v>135</v>
      </c>
      <c r="C32" s="11" t="s">
        <v>687</v>
      </c>
      <c r="D32" s="10">
        <v>4</v>
      </c>
      <c r="E32" s="10" t="s">
        <v>8</v>
      </c>
      <c r="F32" s="10" t="s">
        <v>174</v>
      </c>
      <c r="G32" s="10" t="s">
        <v>688</v>
      </c>
      <c r="H32" s="10" t="s">
        <v>737</v>
      </c>
      <c r="I32" s="10" t="s">
        <v>689</v>
      </c>
      <c r="J32" s="10" t="s">
        <v>767</v>
      </c>
      <c r="K32" s="10" t="s">
        <v>10</v>
      </c>
      <c r="L32" s="16" t="s">
        <v>1981</v>
      </c>
      <c r="M32" s="10" t="s">
        <v>137</v>
      </c>
      <c r="N32" s="19"/>
    </row>
    <row r="33" spans="1:14" ht="42" x14ac:dyDescent="0.35">
      <c r="A33" s="9" t="s">
        <v>538</v>
      </c>
      <c r="B33" s="10" t="s">
        <v>135</v>
      </c>
      <c r="C33" s="11" t="s">
        <v>690</v>
      </c>
      <c r="D33" s="10">
        <v>4</v>
      </c>
      <c r="E33" s="10" t="s">
        <v>8</v>
      </c>
      <c r="F33" s="10" t="s">
        <v>174</v>
      </c>
      <c r="G33" s="10" t="s">
        <v>691</v>
      </c>
      <c r="H33" s="10" t="s">
        <v>738</v>
      </c>
      <c r="I33" s="10" t="s">
        <v>692</v>
      </c>
      <c r="J33" s="10" t="s">
        <v>766</v>
      </c>
      <c r="K33" s="10" t="s">
        <v>13</v>
      </c>
      <c r="L33" s="17" t="s">
        <v>1983</v>
      </c>
      <c r="M33" s="10" t="s">
        <v>137</v>
      </c>
      <c r="N33" s="19"/>
    </row>
    <row r="34" spans="1:14" ht="42" x14ac:dyDescent="0.35">
      <c r="A34" s="9" t="s">
        <v>539</v>
      </c>
      <c r="B34" s="10" t="s">
        <v>135</v>
      </c>
      <c r="C34" s="11" t="s">
        <v>693</v>
      </c>
      <c r="D34" s="10">
        <v>4</v>
      </c>
      <c r="E34" s="10" t="s">
        <v>483</v>
      </c>
      <c r="F34" s="10" t="s">
        <v>174</v>
      </c>
      <c r="G34" s="10" t="s">
        <v>694</v>
      </c>
      <c r="H34" s="10" t="s">
        <v>739</v>
      </c>
      <c r="I34" s="10" t="s">
        <v>695</v>
      </c>
      <c r="J34" s="10" t="s">
        <v>765</v>
      </c>
      <c r="K34" s="10" t="s">
        <v>10</v>
      </c>
      <c r="L34" s="17" t="s">
        <v>1983</v>
      </c>
      <c r="M34" s="10" t="s">
        <v>137</v>
      </c>
      <c r="N34" s="19"/>
    </row>
    <row r="35" spans="1:14" ht="56" x14ac:dyDescent="0.35">
      <c r="A35" s="9" t="s">
        <v>540</v>
      </c>
      <c r="B35" s="10" t="s">
        <v>135</v>
      </c>
      <c r="C35" s="11" t="s">
        <v>696</v>
      </c>
      <c r="D35" s="10">
        <v>5</v>
      </c>
      <c r="E35" s="10" t="s">
        <v>483</v>
      </c>
      <c r="F35" s="10" t="s">
        <v>174</v>
      </c>
      <c r="G35" s="10" t="s">
        <v>697</v>
      </c>
      <c r="H35" s="10" t="s">
        <v>740</v>
      </c>
      <c r="I35" s="10" t="s">
        <v>698</v>
      </c>
      <c r="J35" s="10" t="s">
        <v>764</v>
      </c>
      <c r="K35" s="10" t="s">
        <v>13</v>
      </c>
      <c r="L35" s="17" t="s">
        <v>1983</v>
      </c>
      <c r="M35" s="10" t="s">
        <v>137</v>
      </c>
      <c r="N35" s="19"/>
    </row>
    <row r="36" spans="1:14" ht="42" x14ac:dyDescent="0.35">
      <c r="A36" s="9" t="s">
        <v>541</v>
      </c>
      <c r="B36" s="10" t="s">
        <v>135</v>
      </c>
      <c r="C36" s="11" t="s">
        <v>699</v>
      </c>
      <c r="D36" s="10">
        <v>3</v>
      </c>
      <c r="E36" s="10" t="s">
        <v>483</v>
      </c>
      <c r="F36" s="10" t="s">
        <v>174</v>
      </c>
      <c r="G36" s="10" t="s">
        <v>700</v>
      </c>
      <c r="H36" s="10" t="s">
        <v>741</v>
      </c>
      <c r="I36" s="10" t="s">
        <v>178</v>
      </c>
      <c r="J36" s="10" t="s">
        <v>763</v>
      </c>
      <c r="K36" s="10" t="s">
        <v>10</v>
      </c>
      <c r="L36" s="17" t="s">
        <v>1983</v>
      </c>
      <c r="M36" s="10" t="s">
        <v>137</v>
      </c>
      <c r="N36" s="19"/>
    </row>
    <row r="37" spans="1:14" ht="42" x14ac:dyDescent="0.35">
      <c r="A37" s="9" t="s">
        <v>542</v>
      </c>
      <c r="B37" s="10" t="s">
        <v>135</v>
      </c>
      <c r="C37" s="11" t="s">
        <v>701</v>
      </c>
      <c r="D37" s="10">
        <v>5</v>
      </c>
      <c r="E37" s="10" t="s">
        <v>8</v>
      </c>
      <c r="F37" s="10" t="s">
        <v>174</v>
      </c>
      <c r="G37" s="10" t="s">
        <v>702</v>
      </c>
      <c r="H37" s="10" t="s">
        <v>742</v>
      </c>
      <c r="I37" s="10" t="s">
        <v>703</v>
      </c>
      <c r="J37" s="10" t="s">
        <v>661</v>
      </c>
      <c r="K37" s="10" t="s">
        <v>13</v>
      </c>
      <c r="L37" s="17" t="s">
        <v>1983</v>
      </c>
      <c r="M37" s="10" t="s">
        <v>137</v>
      </c>
      <c r="N37" s="19"/>
    </row>
    <row r="38" spans="1:14" ht="42" x14ac:dyDescent="0.35">
      <c r="A38" s="9" t="s">
        <v>543</v>
      </c>
      <c r="B38" s="10" t="s">
        <v>135</v>
      </c>
      <c r="C38" s="11" t="s">
        <v>704</v>
      </c>
      <c r="D38" s="10">
        <v>2</v>
      </c>
      <c r="E38" s="10" t="s">
        <v>8</v>
      </c>
      <c r="F38" s="10" t="s">
        <v>174</v>
      </c>
      <c r="G38" s="10" t="s">
        <v>705</v>
      </c>
      <c r="H38" s="10" t="s">
        <v>743</v>
      </c>
      <c r="I38" s="10" t="s">
        <v>54</v>
      </c>
      <c r="J38" s="10" t="s">
        <v>762</v>
      </c>
      <c r="K38" s="10" t="s">
        <v>14</v>
      </c>
      <c r="L38" s="17" t="s">
        <v>1983</v>
      </c>
      <c r="M38" s="10" t="s">
        <v>137</v>
      </c>
      <c r="N38" s="19"/>
    </row>
    <row r="39" spans="1:14" ht="42" x14ac:dyDescent="0.35">
      <c r="A39" s="9" t="s">
        <v>544</v>
      </c>
      <c r="B39" s="10" t="s">
        <v>135</v>
      </c>
      <c r="C39" s="11" t="s">
        <v>706</v>
      </c>
      <c r="D39" s="10">
        <v>4</v>
      </c>
      <c r="E39" s="10" t="s">
        <v>8</v>
      </c>
      <c r="F39" s="10" t="s">
        <v>204</v>
      </c>
      <c r="G39" s="10" t="s">
        <v>707</v>
      </c>
      <c r="H39" s="10" t="s">
        <v>744</v>
      </c>
      <c r="I39" s="10" t="s">
        <v>708</v>
      </c>
      <c r="J39" s="10" t="s">
        <v>761</v>
      </c>
      <c r="K39" s="10" t="s">
        <v>10</v>
      </c>
      <c r="L39" s="16" t="s">
        <v>1981</v>
      </c>
      <c r="M39" s="10" t="s">
        <v>137</v>
      </c>
      <c r="N39" s="21" t="s">
        <v>1998</v>
      </c>
    </row>
    <row r="40" spans="1:14" ht="42" x14ac:dyDescent="0.35">
      <c r="A40" s="9" t="s">
        <v>545</v>
      </c>
      <c r="B40" s="10" t="s">
        <v>135</v>
      </c>
      <c r="C40" s="11" t="s">
        <v>709</v>
      </c>
      <c r="D40" s="10">
        <v>3</v>
      </c>
      <c r="E40" s="10" t="s">
        <v>8</v>
      </c>
      <c r="F40" s="10" t="s">
        <v>204</v>
      </c>
      <c r="G40" s="10" t="s">
        <v>710</v>
      </c>
      <c r="H40" s="10" t="s">
        <v>745</v>
      </c>
      <c r="I40" s="10" t="s">
        <v>711</v>
      </c>
      <c r="J40" s="10" t="s">
        <v>760</v>
      </c>
      <c r="K40" s="10" t="s">
        <v>14</v>
      </c>
      <c r="L40" s="17" t="s">
        <v>1983</v>
      </c>
      <c r="M40" s="10" t="s">
        <v>137</v>
      </c>
      <c r="N40" s="19"/>
    </row>
    <row r="41" spans="1:14" ht="42" x14ac:dyDescent="0.35">
      <c r="A41" s="9" t="s">
        <v>546</v>
      </c>
      <c r="B41" s="10" t="s">
        <v>135</v>
      </c>
      <c r="C41" s="11" t="s">
        <v>712</v>
      </c>
      <c r="D41" s="10">
        <v>4</v>
      </c>
      <c r="E41" s="10" t="s">
        <v>8</v>
      </c>
      <c r="F41" s="10" t="s">
        <v>204</v>
      </c>
      <c r="G41" s="10" t="s">
        <v>713</v>
      </c>
      <c r="H41" s="10" t="s">
        <v>746</v>
      </c>
      <c r="I41" s="10" t="s">
        <v>714</v>
      </c>
      <c r="J41" s="10" t="s">
        <v>759</v>
      </c>
      <c r="K41" s="10" t="s">
        <v>13</v>
      </c>
      <c r="L41" s="17" t="s">
        <v>1983</v>
      </c>
      <c r="M41" s="10" t="s">
        <v>137</v>
      </c>
      <c r="N41" s="19"/>
    </row>
    <row r="42" spans="1:14" ht="42" x14ac:dyDescent="0.35">
      <c r="A42" s="9" t="s">
        <v>547</v>
      </c>
      <c r="B42" s="10" t="s">
        <v>135</v>
      </c>
      <c r="C42" s="11" t="s">
        <v>715</v>
      </c>
      <c r="D42" s="10">
        <v>5</v>
      </c>
      <c r="E42" s="10" t="s">
        <v>8</v>
      </c>
      <c r="F42" s="10" t="s">
        <v>204</v>
      </c>
      <c r="G42" s="10" t="s">
        <v>716</v>
      </c>
      <c r="H42" s="10" t="s">
        <v>747</v>
      </c>
      <c r="I42" s="10" t="s">
        <v>717</v>
      </c>
      <c r="J42" s="10" t="s">
        <v>758</v>
      </c>
      <c r="K42" s="10" t="s">
        <v>13</v>
      </c>
      <c r="L42" s="17" t="s">
        <v>1983</v>
      </c>
      <c r="M42" s="10" t="s">
        <v>137</v>
      </c>
      <c r="N42" s="19"/>
    </row>
    <row r="43" spans="1:14" ht="56" x14ac:dyDescent="0.35">
      <c r="A43" s="9" t="s">
        <v>548</v>
      </c>
      <c r="B43" s="10" t="s">
        <v>135</v>
      </c>
      <c r="C43" s="11" t="s">
        <v>718</v>
      </c>
      <c r="D43" s="10">
        <v>6</v>
      </c>
      <c r="E43" s="10" t="s">
        <v>20</v>
      </c>
      <c r="F43" s="10" t="s">
        <v>204</v>
      </c>
      <c r="G43" s="10" t="s">
        <v>719</v>
      </c>
      <c r="H43" s="10" t="s">
        <v>748</v>
      </c>
      <c r="I43" s="10" t="s">
        <v>720</v>
      </c>
      <c r="J43" s="10" t="s">
        <v>757</v>
      </c>
      <c r="K43" s="10" t="s">
        <v>10</v>
      </c>
      <c r="L43" s="17" t="s">
        <v>1983</v>
      </c>
      <c r="M43" s="10" t="s">
        <v>137</v>
      </c>
      <c r="N43" s="17" t="s">
        <v>1987</v>
      </c>
    </row>
    <row r="44" spans="1:14" ht="56" x14ac:dyDescent="0.35">
      <c r="A44" s="9" t="s">
        <v>549</v>
      </c>
      <c r="B44" s="10" t="s">
        <v>135</v>
      </c>
      <c r="C44" s="11" t="s">
        <v>721</v>
      </c>
      <c r="D44" s="10">
        <v>6</v>
      </c>
      <c r="E44" s="10" t="s">
        <v>20</v>
      </c>
      <c r="F44" s="10" t="s">
        <v>204</v>
      </c>
      <c r="G44" s="10" t="s">
        <v>722</v>
      </c>
      <c r="H44" s="10" t="s">
        <v>749</v>
      </c>
      <c r="I44" s="10" t="s">
        <v>723</v>
      </c>
      <c r="J44" s="10" t="s">
        <v>756</v>
      </c>
      <c r="K44" s="10" t="s">
        <v>10</v>
      </c>
      <c r="L44" s="17" t="s">
        <v>1983</v>
      </c>
      <c r="M44" s="10" t="s">
        <v>137</v>
      </c>
      <c r="N44" s="19"/>
    </row>
    <row r="45" spans="1:14" ht="56" x14ac:dyDescent="0.35">
      <c r="A45" s="9" t="s">
        <v>550</v>
      </c>
      <c r="B45" s="10" t="s">
        <v>135</v>
      </c>
      <c r="C45" s="11" t="s">
        <v>724</v>
      </c>
      <c r="D45" s="10">
        <v>6</v>
      </c>
      <c r="E45" s="10" t="s">
        <v>19</v>
      </c>
      <c r="F45" s="10" t="s">
        <v>204</v>
      </c>
      <c r="G45" s="10" t="s">
        <v>725</v>
      </c>
      <c r="H45" s="10" t="s">
        <v>750</v>
      </c>
      <c r="I45" s="10" t="s">
        <v>726</v>
      </c>
      <c r="J45" s="10" t="s">
        <v>755</v>
      </c>
      <c r="K45" s="10" t="s">
        <v>10</v>
      </c>
      <c r="L45" s="17" t="s">
        <v>1983</v>
      </c>
      <c r="M45" s="10" t="s">
        <v>137</v>
      </c>
      <c r="N45" s="19"/>
    </row>
    <row r="46" spans="1:14" ht="56" x14ac:dyDescent="0.35">
      <c r="A46" s="9" t="s">
        <v>551</v>
      </c>
      <c r="B46" s="10" t="s">
        <v>135</v>
      </c>
      <c r="C46" s="11" t="s">
        <v>727</v>
      </c>
      <c r="D46" s="10">
        <v>5</v>
      </c>
      <c r="E46" s="10" t="s">
        <v>8</v>
      </c>
      <c r="F46" s="10" t="s">
        <v>204</v>
      </c>
      <c r="G46" s="10" t="s">
        <v>728</v>
      </c>
      <c r="H46" s="10" t="s">
        <v>751</v>
      </c>
      <c r="I46" s="10" t="s">
        <v>729</v>
      </c>
      <c r="J46" s="10" t="s">
        <v>754</v>
      </c>
      <c r="K46" s="10" t="s">
        <v>13</v>
      </c>
      <c r="L46" s="17" t="s">
        <v>1983</v>
      </c>
      <c r="M46" s="10" t="s">
        <v>137</v>
      </c>
      <c r="N46" s="22"/>
    </row>
    <row r="47" spans="1:14" ht="56" x14ac:dyDescent="0.35">
      <c r="A47" s="9" t="s">
        <v>552</v>
      </c>
      <c r="B47" s="10" t="s">
        <v>135</v>
      </c>
      <c r="C47" s="11" t="s">
        <v>730</v>
      </c>
      <c r="D47" s="10">
        <v>6</v>
      </c>
      <c r="E47" s="10" t="s">
        <v>19</v>
      </c>
      <c r="F47" s="10" t="s">
        <v>204</v>
      </c>
      <c r="G47" s="10" t="s">
        <v>731</v>
      </c>
      <c r="H47" s="10" t="s">
        <v>752</v>
      </c>
      <c r="I47" s="10" t="s">
        <v>732</v>
      </c>
      <c r="J47" s="10" t="s">
        <v>753</v>
      </c>
      <c r="K47" s="10" t="s">
        <v>10</v>
      </c>
      <c r="L47" s="22" t="s">
        <v>1985</v>
      </c>
      <c r="M47" s="10" t="s">
        <v>137</v>
      </c>
      <c r="N47" s="22" t="s">
        <v>1988</v>
      </c>
    </row>
    <row r="48" spans="1:14" ht="70" x14ac:dyDescent="0.35">
      <c r="A48" s="9" t="s">
        <v>553</v>
      </c>
      <c r="B48" s="10" t="s">
        <v>135</v>
      </c>
      <c r="C48" s="11" t="s">
        <v>770</v>
      </c>
      <c r="D48" s="10">
        <v>5</v>
      </c>
      <c r="E48" s="10" t="s">
        <v>8</v>
      </c>
      <c r="F48" s="13" t="s">
        <v>12</v>
      </c>
      <c r="G48" s="10" t="s">
        <v>771</v>
      </c>
      <c r="H48" s="10" t="s">
        <v>815</v>
      </c>
      <c r="I48" s="10" t="s">
        <v>772</v>
      </c>
      <c r="J48" s="10" t="s">
        <v>816</v>
      </c>
      <c r="K48" s="10" t="s">
        <v>10</v>
      </c>
      <c r="L48" s="17" t="s">
        <v>1983</v>
      </c>
      <c r="M48" s="11" t="s">
        <v>137</v>
      </c>
      <c r="N48" s="19"/>
    </row>
    <row r="49" spans="1:14" ht="70" x14ac:dyDescent="0.35">
      <c r="A49" s="9" t="s">
        <v>554</v>
      </c>
      <c r="B49" s="10" t="s">
        <v>135</v>
      </c>
      <c r="C49" s="11" t="s">
        <v>773</v>
      </c>
      <c r="D49" s="10">
        <v>4</v>
      </c>
      <c r="E49" s="10" t="s">
        <v>19</v>
      </c>
      <c r="F49" s="13" t="s">
        <v>12</v>
      </c>
      <c r="G49" s="10" t="s">
        <v>774</v>
      </c>
      <c r="H49" s="10" t="s">
        <v>817</v>
      </c>
      <c r="I49" s="10" t="s">
        <v>54</v>
      </c>
      <c r="J49" s="10" t="s">
        <v>818</v>
      </c>
      <c r="K49" s="10" t="s">
        <v>10</v>
      </c>
      <c r="L49" s="22" t="s">
        <v>1985</v>
      </c>
      <c r="M49" s="11" t="s">
        <v>137</v>
      </c>
      <c r="N49" s="22" t="s">
        <v>1988</v>
      </c>
    </row>
    <row r="50" spans="1:14" ht="56" x14ac:dyDescent="0.35">
      <c r="A50" s="9" t="s">
        <v>555</v>
      </c>
      <c r="B50" s="10" t="s">
        <v>135</v>
      </c>
      <c r="C50" s="11" t="s">
        <v>775</v>
      </c>
      <c r="D50" s="10">
        <v>4</v>
      </c>
      <c r="E50" s="10" t="s">
        <v>19</v>
      </c>
      <c r="F50" s="13" t="s">
        <v>12</v>
      </c>
      <c r="G50" s="10" t="s">
        <v>776</v>
      </c>
      <c r="H50" s="10" t="s">
        <v>819</v>
      </c>
      <c r="I50" s="10" t="s">
        <v>54</v>
      </c>
      <c r="J50" s="10" t="s">
        <v>820</v>
      </c>
      <c r="K50" s="10" t="s">
        <v>10</v>
      </c>
      <c r="L50" s="22" t="s">
        <v>1985</v>
      </c>
      <c r="M50" s="11" t="s">
        <v>137</v>
      </c>
      <c r="N50" s="22" t="s">
        <v>1988</v>
      </c>
    </row>
    <row r="51" spans="1:14" ht="56" x14ac:dyDescent="0.35">
      <c r="A51" s="9" t="s">
        <v>556</v>
      </c>
      <c r="B51" s="10" t="s">
        <v>135</v>
      </c>
      <c r="C51" s="11" t="s">
        <v>777</v>
      </c>
      <c r="D51" s="10">
        <v>5</v>
      </c>
      <c r="E51" s="10" t="s">
        <v>8</v>
      </c>
      <c r="F51" s="13" t="s">
        <v>12</v>
      </c>
      <c r="G51" s="10" t="s">
        <v>778</v>
      </c>
      <c r="H51" s="10" t="s">
        <v>821</v>
      </c>
      <c r="I51" s="10" t="s">
        <v>283</v>
      </c>
      <c r="J51" s="10" t="s">
        <v>822</v>
      </c>
      <c r="K51" s="10" t="s">
        <v>10</v>
      </c>
      <c r="L51" s="17" t="s">
        <v>1983</v>
      </c>
      <c r="M51" s="11" t="s">
        <v>137</v>
      </c>
      <c r="N51" s="19"/>
    </row>
    <row r="52" spans="1:14" ht="70" x14ac:dyDescent="0.35">
      <c r="A52" s="9" t="s">
        <v>557</v>
      </c>
      <c r="B52" s="10" t="s">
        <v>135</v>
      </c>
      <c r="C52" s="11" t="s">
        <v>779</v>
      </c>
      <c r="D52" s="10">
        <v>4</v>
      </c>
      <c r="E52" s="10" t="s">
        <v>19</v>
      </c>
      <c r="F52" s="13" t="s">
        <v>12</v>
      </c>
      <c r="G52" s="10" t="s">
        <v>780</v>
      </c>
      <c r="H52" s="10" t="s">
        <v>823</v>
      </c>
      <c r="I52" s="10" t="s">
        <v>54</v>
      </c>
      <c r="J52" s="10" t="s">
        <v>824</v>
      </c>
      <c r="K52" s="10" t="s">
        <v>10</v>
      </c>
      <c r="L52" s="22" t="s">
        <v>1985</v>
      </c>
      <c r="M52" s="11" t="s">
        <v>137</v>
      </c>
      <c r="N52" s="22" t="s">
        <v>1988</v>
      </c>
    </row>
    <row r="53" spans="1:14" ht="42" x14ac:dyDescent="0.35">
      <c r="A53" s="9" t="s">
        <v>558</v>
      </c>
      <c r="B53" s="10" t="s">
        <v>135</v>
      </c>
      <c r="C53" s="11" t="s">
        <v>781</v>
      </c>
      <c r="D53" s="10">
        <v>4</v>
      </c>
      <c r="E53" s="10" t="s">
        <v>19</v>
      </c>
      <c r="F53" s="13" t="s">
        <v>12</v>
      </c>
      <c r="G53" s="10" t="s">
        <v>782</v>
      </c>
      <c r="H53" s="10" t="s">
        <v>825</v>
      </c>
      <c r="I53" s="10" t="s">
        <v>54</v>
      </c>
      <c r="J53" s="10" t="s">
        <v>826</v>
      </c>
      <c r="K53" s="10" t="s">
        <v>10</v>
      </c>
      <c r="L53" s="22" t="s">
        <v>1985</v>
      </c>
      <c r="M53" s="11" t="s">
        <v>137</v>
      </c>
      <c r="N53" s="22" t="s">
        <v>1988</v>
      </c>
    </row>
    <row r="54" spans="1:14" ht="70" x14ac:dyDescent="0.35">
      <c r="A54" s="9" t="s">
        <v>559</v>
      </c>
      <c r="B54" s="10" t="s">
        <v>135</v>
      </c>
      <c r="C54" s="11" t="s">
        <v>783</v>
      </c>
      <c r="D54" s="10">
        <v>5</v>
      </c>
      <c r="E54" s="10" t="s">
        <v>8</v>
      </c>
      <c r="F54" s="13" t="s">
        <v>12</v>
      </c>
      <c r="G54" s="10" t="s">
        <v>784</v>
      </c>
      <c r="H54" s="10" t="s">
        <v>827</v>
      </c>
      <c r="I54" s="10" t="s">
        <v>785</v>
      </c>
      <c r="J54" s="10" t="s">
        <v>828</v>
      </c>
      <c r="K54" s="10" t="s">
        <v>10</v>
      </c>
      <c r="L54" s="17" t="s">
        <v>1983</v>
      </c>
      <c r="M54" s="11" t="s">
        <v>137</v>
      </c>
      <c r="N54" s="19"/>
    </row>
    <row r="55" spans="1:14" ht="84" x14ac:dyDescent="0.35">
      <c r="A55" s="9" t="s">
        <v>560</v>
      </c>
      <c r="B55" s="10" t="s">
        <v>135</v>
      </c>
      <c r="C55" s="11" t="s">
        <v>786</v>
      </c>
      <c r="D55" s="10">
        <v>4</v>
      </c>
      <c r="E55" s="10" t="s">
        <v>19</v>
      </c>
      <c r="F55" s="13" t="s">
        <v>12</v>
      </c>
      <c r="G55" s="10" t="s">
        <v>787</v>
      </c>
      <c r="H55" s="10" t="s">
        <v>829</v>
      </c>
      <c r="I55" s="10" t="s">
        <v>788</v>
      </c>
      <c r="J55" s="10" t="s">
        <v>830</v>
      </c>
      <c r="K55" s="10" t="s">
        <v>10</v>
      </c>
      <c r="L55" s="22" t="s">
        <v>1985</v>
      </c>
      <c r="M55" s="11" t="s">
        <v>137</v>
      </c>
      <c r="N55" s="22" t="s">
        <v>1988</v>
      </c>
    </row>
    <row r="56" spans="1:14" ht="56" x14ac:dyDescent="0.35">
      <c r="A56" s="9" t="s">
        <v>561</v>
      </c>
      <c r="B56" s="10" t="s">
        <v>135</v>
      </c>
      <c r="C56" s="11" t="s">
        <v>789</v>
      </c>
      <c r="D56" s="10">
        <v>4</v>
      </c>
      <c r="E56" s="10" t="s">
        <v>19</v>
      </c>
      <c r="F56" s="13" t="s">
        <v>12</v>
      </c>
      <c r="G56" s="10" t="s">
        <v>790</v>
      </c>
      <c r="H56" s="10" t="s">
        <v>831</v>
      </c>
      <c r="I56" s="10" t="s">
        <v>791</v>
      </c>
      <c r="J56" s="10" t="s">
        <v>832</v>
      </c>
      <c r="K56" s="10" t="s">
        <v>10</v>
      </c>
      <c r="L56" s="22" t="s">
        <v>1985</v>
      </c>
      <c r="M56" s="11" t="s">
        <v>137</v>
      </c>
      <c r="N56" s="22" t="s">
        <v>1988</v>
      </c>
    </row>
    <row r="57" spans="1:14" ht="42" x14ac:dyDescent="0.35">
      <c r="A57" s="9" t="s">
        <v>562</v>
      </c>
      <c r="B57" s="10" t="s">
        <v>135</v>
      </c>
      <c r="C57" s="11" t="s">
        <v>792</v>
      </c>
      <c r="D57" s="10">
        <v>3</v>
      </c>
      <c r="E57" s="10" t="s">
        <v>8</v>
      </c>
      <c r="F57" s="13" t="s">
        <v>12</v>
      </c>
      <c r="G57" s="10" t="s">
        <v>793</v>
      </c>
      <c r="H57" s="10" t="s">
        <v>834</v>
      </c>
      <c r="I57" s="10" t="s">
        <v>794</v>
      </c>
      <c r="J57" s="10" t="s">
        <v>833</v>
      </c>
      <c r="K57" s="10" t="s">
        <v>13</v>
      </c>
      <c r="L57" s="17" t="s">
        <v>1983</v>
      </c>
      <c r="M57" s="11" t="s">
        <v>137</v>
      </c>
      <c r="N57" s="19"/>
    </row>
    <row r="58" spans="1:14" ht="42" x14ac:dyDescent="0.35">
      <c r="A58" s="9" t="s">
        <v>563</v>
      </c>
      <c r="B58" s="10" t="s">
        <v>135</v>
      </c>
      <c r="C58" s="11" t="s">
        <v>795</v>
      </c>
      <c r="D58" s="10">
        <v>3</v>
      </c>
      <c r="E58" s="10" t="s">
        <v>8</v>
      </c>
      <c r="F58" s="13" t="s">
        <v>12</v>
      </c>
      <c r="G58" s="10" t="s">
        <v>796</v>
      </c>
      <c r="H58" s="10" t="s">
        <v>835</v>
      </c>
      <c r="I58" s="10" t="s">
        <v>797</v>
      </c>
      <c r="J58" s="10" t="s">
        <v>836</v>
      </c>
      <c r="K58" s="10" t="s">
        <v>13</v>
      </c>
      <c r="L58" s="22" t="s">
        <v>1985</v>
      </c>
      <c r="M58" s="11" t="s">
        <v>137</v>
      </c>
      <c r="N58" s="22" t="s">
        <v>1988</v>
      </c>
    </row>
    <row r="59" spans="1:14" ht="42" x14ac:dyDescent="0.35">
      <c r="A59" s="9" t="s">
        <v>564</v>
      </c>
      <c r="B59" s="10" t="s">
        <v>135</v>
      </c>
      <c r="C59" s="11" t="s">
        <v>798</v>
      </c>
      <c r="D59" s="10">
        <v>3</v>
      </c>
      <c r="E59" s="10" t="s">
        <v>8</v>
      </c>
      <c r="F59" s="13" t="s">
        <v>12</v>
      </c>
      <c r="G59" s="10" t="s">
        <v>799</v>
      </c>
      <c r="H59" s="10" t="s">
        <v>837</v>
      </c>
      <c r="I59" s="10" t="s">
        <v>800</v>
      </c>
      <c r="J59" s="10" t="s">
        <v>836</v>
      </c>
      <c r="K59" s="10" t="s">
        <v>13</v>
      </c>
      <c r="L59" s="22" t="s">
        <v>1985</v>
      </c>
      <c r="M59" s="11" t="s">
        <v>137</v>
      </c>
      <c r="N59" s="22" t="s">
        <v>1988</v>
      </c>
    </row>
    <row r="60" spans="1:14" ht="70" x14ac:dyDescent="0.35">
      <c r="A60" s="9" t="s">
        <v>565</v>
      </c>
      <c r="B60" s="10" t="s">
        <v>135</v>
      </c>
      <c r="C60" s="11" t="s">
        <v>801</v>
      </c>
      <c r="D60" s="10">
        <v>5</v>
      </c>
      <c r="E60" s="10" t="s">
        <v>19</v>
      </c>
      <c r="F60" s="13" t="s">
        <v>12</v>
      </c>
      <c r="G60" s="10" t="s">
        <v>774</v>
      </c>
      <c r="H60" s="10" t="s">
        <v>838</v>
      </c>
      <c r="I60" s="10" t="s">
        <v>54</v>
      </c>
      <c r="J60" s="10" t="s">
        <v>839</v>
      </c>
      <c r="K60" s="10" t="s">
        <v>10</v>
      </c>
      <c r="L60" s="22" t="s">
        <v>1985</v>
      </c>
      <c r="M60" s="11" t="s">
        <v>137</v>
      </c>
      <c r="N60" s="22" t="s">
        <v>1988</v>
      </c>
    </row>
    <row r="61" spans="1:14" ht="70" x14ac:dyDescent="0.35">
      <c r="A61" s="9" t="s">
        <v>566</v>
      </c>
      <c r="B61" s="10" t="s">
        <v>135</v>
      </c>
      <c r="C61" s="11" t="s">
        <v>802</v>
      </c>
      <c r="D61" s="10">
        <v>5</v>
      </c>
      <c r="E61" s="10" t="s">
        <v>19</v>
      </c>
      <c r="F61" s="13" t="s">
        <v>12</v>
      </c>
      <c r="G61" s="10" t="s">
        <v>776</v>
      </c>
      <c r="H61" s="10" t="s">
        <v>840</v>
      </c>
      <c r="I61" s="10" t="s">
        <v>803</v>
      </c>
      <c r="J61" s="10" t="s">
        <v>839</v>
      </c>
      <c r="K61" s="10" t="s">
        <v>10</v>
      </c>
      <c r="L61" s="22" t="s">
        <v>1985</v>
      </c>
      <c r="M61" s="11" t="s">
        <v>137</v>
      </c>
      <c r="N61" s="22" t="s">
        <v>1988</v>
      </c>
    </row>
    <row r="62" spans="1:14" ht="42" x14ac:dyDescent="0.35">
      <c r="A62" s="9" t="s">
        <v>567</v>
      </c>
      <c r="B62" s="10" t="s">
        <v>135</v>
      </c>
      <c r="C62" s="11" t="s">
        <v>804</v>
      </c>
      <c r="D62" s="10">
        <v>4</v>
      </c>
      <c r="E62" s="10" t="s">
        <v>8</v>
      </c>
      <c r="F62" s="13" t="s">
        <v>12</v>
      </c>
      <c r="G62" s="10" t="s">
        <v>805</v>
      </c>
      <c r="H62" s="10" t="s">
        <v>841</v>
      </c>
      <c r="I62" s="10" t="s">
        <v>806</v>
      </c>
      <c r="J62" s="10" t="s">
        <v>842</v>
      </c>
      <c r="K62" s="10" t="s">
        <v>13</v>
      </c>
      <c r="L62" s="22" t="s">
        <v>1985</v>
      </c>
      <c r="M62" s="11" t="s">
        <v>137</v>
      </c>
      <c r="N62" s="22" t="s">
        <v>1988</v>
      </c>
    </row>
    <row r="63" spans="1:14" ht="56" x14ac:dyDescent="0.35">
      <c r="A63" s="9" t="s">
        <v>568</v>
      </c>
      <c r="B63" s="10" t="s">
        <v>135</v>
      </c>
      <c r="C63" s="11" t="s">
        <v>807</v>
      </c>
      <c r="D63" s="10">
        <v>4</v>
      </c>
      <c r="E63" s="10" t="s">
        <v>8</v>
      </c>
      <c r="F63" s="13" t="s">
        <v>12</v>
      </c>
      <c r="G63" s="10" t="s">
        <v>808</v>
      </c>
      <c r="H63" s="10" t="s">
        <v>843</v>
      </c>
      <c r="I63" s="10" t="s">
        <v>809</v>
      </c>
      <c r="J63" s="10" t="s">
        <v>844</v>
      </c>
      <c r="K63" s="10" t="s">
        <v>13</v>
      </c>
      <c r="L63" s="22" t="s">
        <v>1985</v>
      </c>
      <c r="M63" s="11" t="s">
        <v>137</v>
      </c>
      <c r="N63" s="22" t="s">
        <v>1988</v>
      </c>
    </row>
    <row r="64" spans="1:14" ht="56" x14ac:dyDescent="0.35">
      <c r="A64" s="9" t="s">
        <v>569</v>
      </c>
      <c r="B64" s="10" t="s">
        <v>135</v>
      </c>
      <c r="C64" s="11" t="s">
        <v>810</v>
      </c>
      <c r="D64" s="10">
        <v>4</v>
      </c>
      <c r="E64" s="10" t="s">
        <v>8</v>
      </c>
      <c r="F64" s="13" t="s">
        <v>12</v>
      </c>
      <c r="G64" s="10" t="s">
        <v>811</v>
      </c>
      <c r="H64" s="10" t="s">
        <v>845</v>
      </c>
      <c r="I64" s="10" t="s">
        <v>812</v>
      </c>
      <c r="J64" s="10" t="s">
        <v>846</v>
      </c>
      <c r="K64" s="10" t="s">
        <v>13</v>
      </c>
      <c r="L64" s="22" t="s">
        <v>1985</v>
      </c>
      <c r="M64" s="11" t="s">
        <v>137</v>
      </c>
      <c r="N64" s="22" t="s">
        <v>1988</v>
      </c>
    </row>
    <row r="65" spans="1:14" ht="70" x14ac:dyDescent="0.35">
      <c r="A65" s="9" t="s">
        <v>570</v>
      </c>
      <c r="B65" s="10" t="s">
        <v>135</v>
      </c>
      <c r="C65" s="11" t="s">
        <v>312</v>
      </c>
      <c r="D65" s="10">
        <v>6</v>
      </c>
      <c r="E65" s="10" t="s">
        <v>313</v>
      </c>
      <c r="F65" s="13" t="s">
        <v>12</v>
      </c>
      <c r="G65" s="10" t="s">
        <v>314</v>
      </c>
      <c r="H65" s="10" t="s">
        <v>847</v>
      </c>
      <c r="I65" s="10" t="s">
        <v>813</v>
      </c>
      <c r="J65" s="10" t="s">
        <v>848</v>
      </c>
      <c r="K65" s="10" t="s">
        <v>13</v>
      </c>
      <c r="L65" s="17" t="s">
        <v>1983</v>
      </c>
      <c r="M65" s="11" t="s">
        <v>137</v>
      </c>
      <c r="N65" s="22"/>
    </row>
    <row r="66" spans="1:14" ht="56" x14ac:dyDescent="0.35">
      <c r="A66" s="9" t="s">
        <v>571</v>
      </c>
      <c r="B66" s="10" t="s">
        <v>135</v>
      </c>
      <c r="C66" s="11" t="s">
        <v>315</v>
      </c>
      <c r="D66" s="10">
        <v>6</v>
      </c>
      <c r="E66" s="10" t="s">
        <v>313</v>
      </c>
      <c r="F66" s="13" t="s">
        <v>12</v>
      </c>
      <c r="G66" s="10" t="s">
        <v>316</v>
      </c>
      <c r="H66" s="10" t="s">
        <v>849</v>
      </c>
      <c r="I66" s="10" t="s">
        <v>814</v>
      </c>
      <c r="J66" s="10" t="s">
        <v>850</v>
      </c>
      <c r="K66" s="10" t="s">
        <v>13</v>
      </c>
      <c r="L66" s="17" t="s">
        <v>1983</v>
      </c>
      <c r="M66" s="11" t="s">
        <v>137</v>
      </c>
      <c r="N66" s="22"/>
    </row>
    <row r="67" spans="1:14" ht="84" x14ac:dyDescent="0.35">
      <c r="A67" s="9" t="s">
        <v>572</v>
      </c>
      <c r="B67" s="10" t="s">
        <v>135</v>
      </c>
      <c r="C67" s="11" t="s">
        <v>321</v>
      </c>
      <c r="D67" s="10">
        <v>5</v>
      </c>
      <c r="E67" s="10" t="s">
        <v>322</v>
      </c>
      <c r="F67" s="13" t="s">
        <v>12</v>
      </c>
      <c r="G67" s="10" t="s">
        <v>323</v>
      </c>
      <c r="H67" s="10" t="s">
        <v>851</v>
      </c>
      <c r="I67" s="10" t="s">
        <v>54</v>
      </c>
      <c r="J67" s="10" t="s">
        <v>852</v>
      </c>
      <c r="K67" s="10" t="s">
        <v>10</v>
      </c>
      <c r="L67" s="22" t="s">
        <v>1985</v>
      </c>
      <c r="M67" s="11" t="s">
        <v>137</v>
      </c>
      <c r="N67" s="22" t="s">
        <v>1988</v>
      </c>
    </row>
    <row r="68" spans="1:14" ht="56" x14ac:dyDescent="0.35">
      <c r="A68" s="9" t="s">
        <v>573</v>
      </c>
      <c r="B68" s="10" t="s">
        <v>135</v>
      </c>
      <c r="C68" s="11" t="s">
        <v>399</v>
      </c>
      <c r="D68" s="10">
        <v>6</v>
      </c>
      <c r="E68" s="10" t="s">
        <v>20</v>
      </c>
      <c r="F68" s="10" t="s">
        <v>853</v>
      </c>
      <c r="G68" s="10" t="s">
        <v>854</v>
      </c>
      <c r="H68" s="10" t="s">
        <v>2089</v>
      </c>
      <c r="I68" s="10" t="s">
        <v>855</v>
      </c>
      <c r="J68" s="10" t="s">
        <v>2090</v>
      </c>
      <c r="K68" s="10" t="s">
        <v>10</v>
      </c>
      <c r="L68" s="17" t="s">
        <v>1983</v>
      </c>
      <c r="M68" s="11" t="s">
        <v>137</v>
      </c>
      <c r="N68" s="19"/>
    </row>
    <row r="69" spans="1:14" ht="56" x14ac:dyDescent="0.35">
      <c r="A69" s="9" t="s">
        <v>574</v>
      </c>
      <c r="B69" s="10" t="s">
        <v>135</v>
      </c>
      <c r="C69" s="11" t="s">
        <v>402</v>
      </c>
      <c r="D69" s="10">
        <v>5</v>
      </c>
      <c r="E69" s="10" t="s">
        <v>20</v>
      </c>
      <c r="F69" s="10" t="s">
        <v>853</v>
      </c>
      <c r="G69" s="10" t="s">
        <v>403</v>
      </c>
      <c r="H69" s="10" t="s">
        <v>2098</v>
      </c>
      <c r="I69" s="10" t="s">
        <v>856</v>
      </c>
      <c r="J69" s="10" t="s">
        <v>2099</v>
      </c>
      <c r="K69" s="10" t="s">
        <v>10</v>
      </c>
      <c r="L69" s="17" t="s">
        <v>1983</v>
      </c>
      <c r="M69" s="11" t="s">
        <v>137</v>
      </c>
      <c r="N69" s="19"/>
    </row>
    <row r="70" spans="1:14" ht="56" x14ac:dyDescent="0.35">
      <c r="A70" s="9" t="s">
        <v>575</v>
      </c>
      <c r="B70" s="10" t="s">
        <v>135</v>
      </c>
      <c r="C70" s="11" t="s">
        <v>857</v>
      </c>
      <c r="D70" s="10">
        <v>6</v>
      </c>
      <c r="E70" s="10" t="s">
        <v>20</v>
      </c>
      <c r="F70" s="10" t="s">
        <v>853</v>
      </c>
      <c r="G70" s="10" t="s">
        <v>858</v>
      </c>
      <c r="H70" s="10" t="s">
        <v>2100</v>
      </c>
      <c r="I70" s="10" t="s">
        <v>859</v>
      </c>
      <c r="J70" s="10" t="s">
        <v>2101</v>
      </c>
      <c r="K70" s="10" t="s">
        <v>10</v>
      </c>
      <c r="L70" s="17" t="s">
        <v>1983</v>
      </c>
      <c r="M70" s="11" t="s">
        <v>137</v>
      </c>
      <c r="N70" s="19"/>
    </row>
    <row r="71" spans="1:14" ht="42" x14ac:dyDescent="0.35">
      <c r="A71" s="9" t="s">
        <v>576</v>
      </c>
      <c r="B71" s="10" t="s">
        <v>135</v>
      </c>
      <c r="C71" s="11" t="s">
        <v>860</v>
      </c>
      <c r="D71" s="10">
        <v>6</v>
      </c>
      <c r="E71" s="10" t="s">
        <v>20</v>
      </c>
      <c r="F71" s="10" t="s">
        <v>853</v>
      </c>
      <c r="G71" s="10" t="s">
        <v>861</v>
      </c>
      <c r="H71" s="10" t="s">
        <v>2102</v>
      </c>
      <c r="I71" s="10" t="s">
        <v>283</v>
      </c>
      <c r="J71" s="10" t="s">
        <v>862</v>
      </c>
      <c r="K71" s="10" t="s">
        <v>13</v>
      </c>
      <c r="L71" s="17" t="s">
        <v>1983</v>
      </c>
      <c r="M71" s="11" t="s">
        <v>137</v>
      </c>
      <c r="N71" s="19"/>
    </row>
    <row r="72" spans="1:14" ht="70" x14ac:dyDescent="0.35">
      <c r="A72" s="9" t="s">
        <v>577</v>
      </c>
      <c r="B72" s="10" t="s">
        <v>135</v>
      </c>
      <c r="C72" s="11" t="s">
        <v>863</v>
      </c>
      <c r="D72" s="10">
        <v>6</v>
      </c>
      <c r="E72" s="10" t="s">
        <v>20</v>
      </c>
      <c r="F72" s="10" t="s">
        <v>411</v>
      </c>
      <c r="G72" s="10" t="s">
        <v>864</v>
      </c>
      <c r="H72" s="10" t="s">
        <v>2103</v>
      </c>
      <c r="I72" s="10" t="s">
        <v>865</v>
      </c>
      <c r="J72" s="10" t="s">
        <v>2104</v>
      </c>
      <c r="K72" s="10" t="s">
        <v>10</v>
      </c>
      <c r="L72" s="17" t="s">
        <v>1983</v>
      </c>
      <c r="M72" s="11" t="s">
        <v>137</v>
      </c>
      <c r="N72" s="19"/>
    </row>
    <row r="73" spans="1:14" ht="56" x14ac:dyDescent="0.35">
      <c r="A73" s="9" t="s">
        <v>578</v>
      </c>
      <c r="B73" s="10" t="s">
        <v>135</v>
      </c>
      <c r="C73" s="11" t="s">
        <v>866</v>
      </c>
      <c r="D73" s="10">
        <v>5</v>
      </c>
      <c r="E73" s="10" t="s">
        <v>20</v>
      </c>
      <c r="F73" s="10" t="s">
        <v>411</v>
      </c>
      <c r="G73" s="10" t="s">
        <v>867</v>
      </c>
      <c r="H73" s="10" t="s">
        <v>868</v>
      </c>
      <c r="I73" s="10" t="s">
        <v>869</v>
      </c>
      <c r="J73" s="10" t="s">
        <v>870</v>
      </c>
      <c r="K73" s="10" t="s">
        <v>13</v>
      </c>
      <c r="L73" s="17" t="s">
        <v>1983</v>
      </c>
      <c r="M73" s="11" t="s">
        <v>137</v>
      </c>
      <c r="N73" s="19"/>
    </row>
    <row r="74" spans="1:14" ht="70" x14ac:dyDescent="0.35">
      <c r="A74" s="9" t="s">
        <v>579</v>
      </c>
      <c r="B74" s="10" t="s">
        <v>135</v>
      </c>
      <c r="C74" s="11" t="s">
        <v>718</v>
      </c>
      <c r="D74" s="10">
        <v>6</v>
      </c>
      <c r="E74" s="10" t="s">
        <v>20</v>
      </c>
      <c r="F74" s="10" t="s">
        <v>411</v>
      </c>
      <c r="G74" s="10" t="s">
        <v>871</v>
      </c>
      <c r="H74" s="10" t="s">
        <v>872</v>
      </c>
      <c r="I74" s="10" t="s">
        <v>873</v>
      </c>
      <c r="J74" s="10" t="s">
        <v>874</v>
      </c>
      <c r="K74" s="10" t="s">
        <v>10</v>
      </c>
      <c r="L74" s="17" t="s">
        <v>1983</v>
      </c>
      <c r="M74" s="11" t="s">
        <v>137</v>
      </c>
      <c r="N74" s="19"/>
    </row>
    <row r="75" spans="1:14" ht="42" x14ac:dyDescent="0.35">
      <c r="A75" s="9" t="s">
        <v>580</v>
      </c>
      <c r="B75" s="10" t="s">
        <v>135</v>
      </c>
      <c r="C75" s="11" t="s">
        <v>875</v>
      </c>
      <c r="D75" s="10">
        <v>6</v>
      </c>
      <c r="E75" s="10" t="s">
        <v>20</v>
      </c>
      <c r="F75" s="10" t="s">
        <v>411</v>
      </c>
      <c r="G75" s="10" t="s">
        <v>876</v>
      </c>
      <c r="H75" s="10" t="s">
        <v>877</v>
      </c>
      <c r="I75" s="10" t="s">
        <v>283</v>
      </c>
      <c r="J75" s="10" t="s">
        <v>878</v>
      </c>
      <c r="K75" s="10" t="s">
        <v>13</v>
      </c>
      <c r="L75" s="17" t="s">
        <v>1983</v>
      </c>
      <c r="M75" s="11" t="s">
        <v>137</v>
      </c>
      <c r="N75" s="19"/>
    </row>
    <row r="76" spans="1:14" ht="42" x14ac:dyDescent="0.35">
      <c r="A76" s="9" t="s">
        <v>581</v>
      </c>
      <c r="B76" s="10" t="s">
        <v>135</v>
      </c>
      <c r="C76" s="11" t="s">
        <v>879</v>
      </c>
      <c r="D76" s="10">
        <v>4</v>
      </c>
      <c r="E76" s="10" t="s">
        <v>8</v>
      </c>
      <c r="F76" s="10" t="s">
        <v>411</v>
      </c>
      <c r="G76" s="10" t="s">
        <v>880</v>
      </c>
      <c r="H76" s="10" t="s">
        <v>881</v>
      </c>
      <c r="I76" s="10" t="s">
        <v>54</v>
      </c>
      <c r="J76" s="10" t="s">
        <v>882</v>
      </c>
      <c r="K76" s="10" t="s">
        <v>13</v>
      </c>
      <c r="L76" s="17" t="s">
        <v>1983</v>
      </c>
      <c r="M76" s="11" t="s">
        <v>137</v>
      </c>
      <c r="N76" s="19"/>
    </row>
    <row r="77" spans="1:14" ht="42" x14ac:dyDescent="0.35">
      <c r="A77" s="9" t="s">
        <v>582</v>
      </c>
      <c r="B77" s="10" t="s">
        <v>135</v>
      </c>
      <c r="C77" s="11" t="s">
        <v>883</v>
      </c>
      <c r="D77" s="10">
        <v>5</v>
      </c>
      <c r="E77" s="10" t="s">
        <v>8</v>
      </c>
      <c r="F77" s="10" t="s">
        <v>411</v>
      </c>
      <c r="G77" s="10" t="s">
        <v>884</v>
      </c>
      <c r="H77" s="10" t="s">
        <v>885</v>
      </c>
      <c r="I77" s="10" t="s">
        <v>54</v>
      </c>
      <c r="J77" s="10" t="s">
        <v>886</v>
      </c>
      <c r="K77" s="10" t="s">
        <v>13</v>
      </c>
      <c r="L77" s="17" t="s">
        <v>1983</v>
      </c>
      <c r="M77" s="11" t="s">
        <v>137</v>
      </c>
      <c r="N77" s="19"/>
    </row>
    <row r="78" spans="1:14" ht="42" x14ac:dyDescent="0.35">
      <c r="A78" s="9" t="s">
        <v>583</v>
      </c>
      <c r="B78" s="10" t="s">
        <v>135</v>
      </c>
      <c r="C78" s="11" t="s">
        <v>887</v>
      </c>
      <c r="D78" s="10">
        <v>6</v>
      </c>
      <c r="E78" s="10" t="s">
        <v>20</v>
      </c>
      <c r="F78" s="10" t="s">
        <v>427</v>
      </c>
      <c r="G78" s="10" t="s">
        <v>888</v>
      </c>
      <c r="H78" s="10" t="s">
        <v>889</v>
      </c>
      <c r="I78" s="10" t="s">
        <v>890</v>
      </c>
      <c r="J78" s="10" t="s">
        <v>891</v>
      </c>
      <c r="K78" s="10" t="s">
        <v>10</v>
      </c>
      <c r="L78" s="17" t="s">
        <v>1983</v>
      </c>
      <c r="M78" s="11" t="s">
        <v>137</v>
      </c>
      <c r="N78" s="19"/>
    </row>
    <row r="79" spans="1:14" ht="28" x14ac:dyDescent="0.35">
      <c r="A79" s="9" t="s">
        <v>584</v>
      </c>
      <c r="B79" s="10" t="s">
        <v>135</v>
      </c>
      <c r="C79" s="11" t="s">
        <v>892</v>
      </c>
      <c r="D79" s="10">
        <v>5</v>
      </c>
      <c r="E79" s="10" t="s">
        <v>8</v>
      </c>
      <c r="F79" s="10" t="s">
        <v>427</v>
      </c>
      <c r="G79" s="10" t="s">
        <v>893</v>
      </c>
      <c r="H79" s="10" t="s">
        <v>894</v>
      </c>
      <c r="I79" s="10" t="s">
        <v>54</v>
      </c>
      <c r="J79" s="10" t="s">
        <v>895</v>
      </c>
      <c r="K79" s="10" t="s">
        <v>13</v>
      </c>
      <c r="L79" s="17" t="s">
        <v>1983</v>
      </c>
      <c r="M79" s="11" t="s">
        <v>137</v>
      </c>
      <c r="N79" s="19"/>
    </row>
    <row r="80" spans="1:14" ht="56" x14ac:dyDescent="0.35">
      <c r="A80" s="9" t="s">
        <v>585</v>
      </c>
      <c r="B80" s="10" t="s">
        <v>135</v>
      </c>
      <c r="C80" s="11" t="s">
        <v>896</v>
      </c>
      <c r="D80" s="10">
        <v>6</v>
      </c>
      <c r="E80" s="10" t="s">
        <v>20</v>
      </c>
      <c r="F80" s="10" t="s">
        <v>427</v>
      </c>
      <c r="G80" s="10" t="s">
        <v>897</v>
      </c>
      <c r="H80" s="10" t="s">
        <v>898</v>
      </c>
      <c r="I80" s="10" t="s">
        <v>899</v>
      </c>
      <c r="J80" s="10" t="s">
        <v>900</v>
      </c>
      <c r="K80" s="10" t="s">
        <v>10</v>
      </c>
      <c r="L80" s="17" t="s">
        <v>1983</v>
      </c>
      <c r="M80" s="11" t="s">
        <v>137</v>
      </c>
      <c r="N80" s="19"/>
    </row>
    <row r="81" spans="1:14" ht="42" x14ac:dyDescent="0.35">
      <c r="A81" s="9" t="s">
        <v>586</v>
      </c>
      <c r="B81" s="10" t="s">
        <v>135</v>
      </c>
      <c r="C81" s="11" t="s">
        <v>901</v>
      </c>
      <c r="D81" s="10">
        <v>6</v>
      </c>
      <c r="E81" s="10" t="s">
        <v>20</v>
      </c>
      <c r="F81" s="10" t="s">
        <v>427</v>
      </c>
      <c r="G81" s="10" t="s">
        <v>902</v>
      </c>
      <c r="H81" s="10" t="s">
        <v>903</v>
      </c>
      <c r="I81" s="10" t="s">
        <v>283</v>
      </c>
      <c r="J81" s="10" t="s">
        <v>904</v>
      </c>
      <c r="K81" s="10" t="s">
        <v>13</v>
      </c>
      <c r="L81" s="17" t="s">
        <v>1983</v>
      </c>
      <c r="M81" s="11" t="s">
        <v>137</v>
      </c>
      <c r="N81" s="19"/>
    </row>
    <row r="82" spans="1:14" ht="42" x14ac:dyDescent="0.35">
      <c r="A82" s="9" t="s">
        <v>587</v>
      </c>
      <c r="B82" s="10" t="s">
        <v>135</v>
      </c>
      <c r="C82" s="11" t="s">
        <v>905</v>
      </c>
      <c r="D82" s="10">
        <v>5</v>
      </c>
      <c r="E82" s="10" t="s">
        <v>8</v>
      </c>
      <c r="F82" s="10" t="s">
        <v>427</v>
      </c>
      <c r="G82" s="10" t="s">
        <v>906</v>
      </c>
      <c r="H82" s="10" t="s">
        <v>907</v>
      </c>
      <c r="I82" s="10" t="s">
        <v>54</v>
      </c>
      <c r="J82" s="10" t="s">
        <v>908</v>
      </c>
      <c r="K82" s="10" t="s">
        <v>13</v>
      </c>
      <c r="L82" s="17" t="s">
        <v>1983</v>
      </c>
      <c r="M82" s="11" t="s">
        <v>137</v>
      </c>
      <c r="N82" s="19"/>
    </row>
    <row r="83" spans="1:14" ht="28" x14ac:dyDescent="0.35">
      <c r="A83" s="9" t="s">
        <v>588</v>
      </c>
      <c r="B83" s="10" t="s">
        <v>135</v>
      </c>
      <c r="C83" s="11" t="s">
        <v>909</v>
      </c>
      <c r="D83" s="10">
        <v>6</v>
      </c>
      <c r="E83" s="10" t="s">
        <v>8</v>
      </c>
      <c r="F83" s="10" t="s">
        <v>411</v>
      </c>
      <c r="G83" s="10" t="s">
        <v>910</v>
      </c>
      <c r="H83" s="10" t="s">
        <v>911</v>
      </c>
      <c r="I83" s="10" t="s">
        <v>54</v>
      </c>
      <c r="J83" s="10" t="s">
        <v>912</v>
      </c>
      <c r="K83" s="10" t="s">
        <v>13</v>
      </c>
      <c r="L83" s="17" t="s">
        <v>1983</v>
      </c>
      <c r="M83" s="11" t="s">
        <v>137</v>
      </c>
      <c r="N83" s="19"/>
    </row>
    <row r="84" spans="1:14" ht="28" x14ac:dyDescent="0.35">
      <c r="A84" s="9" t="s">
        <v>589</v>
      </c>
      <c r="B84" s="10" t="s">
        <v>135</v>
      </c>
      <c r="C84" s="11" t="s">
        <v>913</v>
      </c>
      <c r="D84" s="10">
        <v>6</v>
      </c>
      <c r="E84" s="10" t="s">
        <v>8</v>
      </c>
      <c r="F84" s="10" t="s">
        <v>427</v>
      </c>
      <c r="G84" s="10" t="s">
        <v>914</v>
      </c>
      <c r="H84" s="10" t="s">
        <v>915</v>
      </c>
      <c r="I84" s="10" t="s">
        <v>54</v>
      </c>
      <c r="J84" s="10" t="s">
        <v>916</v>
      </c>
      <c r="K84" s="10" t="s">
        <v>13</v>
      </c>
      <c r="L84" s="17" t="s">
        <v>1983</v>
      </c>
      <c r="M84" s="11" t="s">
        <v>137</v>
      </c>
      <c r="N84" s="19"/>
    </row>
    <row r="85" spans="1:14" ht="28" x14ac:dyDescent="0.35">
      <c r="A85" s="9" t="s">
        <v>590</v>
      </c>
      <c r="B85" s="10" t="s">
        <v>135</v>
      </c>
      <c r="C85" s="11" t="s">
        <v>917</v>
      </c>
      <c r="D85" s="10">
        <v>7</v>
      </c>
      <c r="E85" s="10" t="s">
        <v>20</v>
      </c>
      <c r="F85" s="10" t="s">
        <v>918</v>
      </c>
      <c r="G85" s="10" t="s">
        <v>919</v>
      </c>
      <c r="H85" s="10" t="s">
        <v>920</v>
      </c>
      <c r="I85" s="10" t="s">
        <v>450</v>
      </c>
      <c r="J85" s="10" t="s">
        <v>921</v>
      </c>
      <c r="K85" s="10" t="s">
        <v>13</v>
      </c>
      <c r="L85" s="17" t="s">
        <v>1983</v>
      </c>
      <c r="M85" s="11" t="s">
        <v>137</v>
      </c>
      <c r="N85" s="19"/>
    </row>
    <row r="86" spans="1:14" ht="28" x14ac:dyDescent="0.35">
      <c r="A86" s="9" t="s">
        <v>591</v>
      </c>
      <c r="B86" s="10" t="s">
        <v>135</v>
      </c>
      <c r="C86" s="11" t="s">
        <v>922</v>
      </c>
      <c r="D86" s="10">
        <v>7</v>
      </c>
      <c r="E86" s="10" t="s">
        <v>20</v>
      </c>
      <c r="F86" s="10" t="s">
        <v>918</v>
      </c>
      <c r="G86" s="10" t="s">
        <v>923</v>
      </c>
      <c r="H86" s="10" t="s">
        <v>924</v>
      </c>
      <c r="I86" s="10" t="s">
        <v>925</v>
      </c>
      <c r="J86" s="10" t="s">
        <v>926</v>
      </c>
      <c r="K86" s="10" t="s">
        <v>13</v>
      </c>
      <c r="L86" s="17" t="s">
        <v>1983</v>
      </c>
      <c r="M86" s="11" t="s">
        <v>137</v>
      </c>
      <c r="N86" s="19"/>
    </row>
    <row r="87" spans="1:14" ht="42" x14ac:dyDescent="0.35">
      <c r="A87" s="9" t="s">
        <v>592</v>
      </c>
      <c r="B87" s="10" t="s">
        <v>135</v>
      </c>
      <c r="C87" s="11" t="s">
        <v>927</v>
      </c>
      <c r="D87" s="10">
        <v>7</v>
      </c>
      <c r="E87" s="10" t="s">
        <v>20</v>
      </c>
      <c r="F87" s="10" t="s">
        <v>918</v>
      </c>
      <c r="G87" s="10" t="s">
        <v>453</v>
      </c>
      <c r="H87" s="10" t="s">
        <v>928</v>
      </c>
      <c r="I87" s="10" t="s">
        <v>453</v>
      </c>
      <c r="J87" s="10" t="s">
        <v>929</v>
      </c>
      <c r="K87" s="10" t="s">
        <v>13</v>
      </c>
      <c r="L87" s="17" t="s">
        <v>1983</v>
      </c>
      <c r="M87" s="11" t="s">
        <v>137</v>
      </c>
      <c r="N87" s="19"/>
    </row>
    <row r="88" spans="1:14" ht="84" x14ac:dyDescent="0.35">
      <c r="A88" s="9" t="s">
        <v>593</v>
      </c>
      <c r="B88" s="10" t="s">
        <v>135</v>
      </c>
      <c r="C88" s="11" t="s">
        <v>930</v>
      </c>
      <c r="D88" s="10">
        <v>5</v>
      </c>
      <c r="E88" s="10" t="s">
        <v>322</v>
      </c>
      <c r="F88" s="10" t="s">
        <v>322</v>
      </c>
      <c r="G88" s="10" t="s">
        <v>484</v>
      </c>
      <c r="H88" s="10" t="s">
        <v>931</v>
      </c>
      <c r="I88" s="10" t="s">
        <v>54</v>
      </c>
      <c r="J88" s="10" t="s">
        <v>932</v>
      </c>
      <c r="K88" s="10" t="s">
        <v>13</v>
      </c>
      <c r="L88" s="17" t="s">
        <v>1983</v>
      </c>
      <c r="M88" s="11" t="s">
        <v>137</v>
      </c>
      <c r="N88" s="19"/>
    </row>
    <row r="89" spans="1:14" ht="42" x14ac:dyDescent="0.35">
      <c r="A89" s="9" t="s">
        <v>594</v>
      </c>
      <c r="B89" s="10" t="s">
        <v>135</v>
      </c>
      <c r="C89" s="11" t="s">
        <v>933</v>
      </c>
      <c r="D89" s="10">
        <v>6</v>
      </c>
      <c r="E89" s="10" t="s">
        <v>322</v>
      </c>
      <c r="F89" s="10" t="s">
        <v>322</v>
      </c>
      <c r="G89" s="10" t="s">
        <v>934</v>
      </c>
      <c r="H89" s="10" t="s">
        <v>935</v>
      </c>
      <c r="I89" s="10" t="s">
        <v>54</v>
      </c>
      <c r="J89" s="10" t="s">
        <v>936</v>
      </c>
      <c r="K89" s="10" t="s">
        <v>13</v>
      </c>
      <c r="L89" s="17" t="s">
        <v>1983</v>
      </c>
      <c r="M89" s="11" t="s">
        <v>137</v>
      </c>
      <c r="N89" s="19"/>
    </row>
    <row r="90" spans="1:14" ht="28" x14ac:dyDescent="0.35">
      <c r="A90" s="9" t="s">
        <v>595</v>
      </c>
      <c r="B90" s="10" t="s">
        <v>135</v>
      </c>
      <c r="C90" s="11" t="s">
        <v>937</v>
      </c>
      <c r="D90" s="10">
        <v>8</v>
      </c>
      <c r="E90" s="10" t="s">
        <v>91</v>
      </c>
      <c r="F90" s="10" t="s">
        <v>458</v>
      </c>
      <c r="G90" s="10" t="s">
        <v>938</v>
      </c>
      <c r="H90" s="10" t="s">
        <v>939</v>
      </c>
      <c r="I90" s="10" t="s">
        <v>54</v>
      </c>
      <c r="J90" s="10" t="s">
        <v>940</v>
      </c>
      <c r="K90" s="10" t="s">
        <v>10</v>
      </c>
      <c r="L90" s="17" t="s">
        <v>1983</v>
      </c>
      <c r="M90" s="11" t="s">
        <v>137</v>
      </c>
      <c r="N90" s="22"/>
    </row>
    <row r="91" spans="1:14" ht="42" x14ac:dyDescent="0.35">
      <c r="A91" s="9" t="s">
        <v>596</v>
      </c>
      <c r="B91" s="10" t="s">
        <v>135</v>
      </c>
      <c r="C91" s="11" t="s">
        <v>941</v>
      </c>
      <c r="D91" s="10">
        <v>5</v>
      </c>
      <c r="E91" s="10" t="s">
        <v>8</v>
      </c>
      <c r="F91" s="10" t="s">
        <v>462</v>
      </c>
      <c r="G91" s="10" t="s">
        <v>942</v>
      </c>
      <c r="H91" s="10" t="s">
        <v>943</v>
      </c>
      <c r="I91" s="10" t="s">
        <v>54</v>
      </c>
      <c r="J91" s="10" t="s">
        <v>944</v>
      </c>
      <c r="K91" s="10" t="s">
        <v>13</v>
      </c>
      <c r="L91" s="17" t="s">
        <v>1983</v>
      </c>
      <c r="M91" s="11" t="s">
        <v>137</v>
      </c>
      <c r="N91" s="22"/>
    </row>
    <row r="92" spans="1:14" ht="42" x14ac:dyDescent="0.35">
      <c r="A92" s="9" t="s">
        <v>597</v>
      </c>
      <c r="B92" s="10" t="s">
        <v>135</v>
      </c>
      <c r="C92" s="11" t="s">
        <v>945</v>
      </c>
      <c r="D92" s="10">
        <v>6</v>
      </c>
      <c r="E92" s="10" t="s">
        <v>91</v>
      </c>
      <c r="F92" s="10" t="s">
        <v>462</v>
      </c>
      <c r="G92" s="10" t="s">
        <v>946</v>
      </c>
      <c r="H92" s="10" t="s">
        <v>947</v>
      </c>
      <c r="I92" s="10" t="s">
        <v>54</v>
      </c>
      <c r="J92" s="10" t="s">
        <v>948</v>
      </c>
      <c r="K92" s="10" t="s">
        <v>13</v>
      </c>
      <c r="L92" s="17" t="s">
        <v>1983</v>
      </c>
      <c r="M92" s="11" t="s">
        <v>137</v>
      </c>
      <c r="N92" s="19"/>
    </row>
    <row r="93" spans="1:14" ht="42" x14ac:dyDescent="0.35">
      <c r="A93" s="9" t="s">
        <v>598</v>
      </c>
      <c r="B93" s="10" t="s">
        <v>135</v>
      </c>
      <c r="C93" s="11" t="s">
        <v>949</v>
      </c>
      <c r="D93" s="10">
        <v>6</v>
      </c>
      <c r="E93" s="10" t="s">
        <v>8</v>
      </c>
      <c r="F93" s="10" t="s">
        <v>467</v>
      </c>
      <c r="G93" s="10" t="s">
        <v>950</v>
      </c>
      <c r="H93" s="10" t="s">
        <v>951</v>
      </c>
      <c r="I93" s="10" t="s">
        <v>54</v>
      </c>
      <c r="J93" s="10" t="s">
        <v>952</v>
      </c>
      <c r="K93" s="10" t="s">
        <v>13</v>
      </c>
      <c r="L93" s="17" t="s">
        <v>1983</v>
      </c>
      <c r="M93" s="11" t="s">
        <v>137</v>
      </c>
      <c r="N93" s="19"/>
    </row>
    <row r="94" spans="1:14" ht="28" x14ac:dyDescent="0.35">
      <c r="A94" s="9" t="s">
        <v>599</v>
      </c>
      <c r="B94" s="10" t="s">
        <v>135</v>
      </c>
      <c r="C94" s="11" t="s">
        <v>953</v>
      </c>
      <c r="D94" s="10">
        <v>6</v>
      </c>
      <c r="E94" s="10" t="s">
        <v>8</v>
      </c>
      <c r="F94" s="10" t="s">
        <v>467</v>
      </c>
      <c r="G94" s="10" t="s">
        <v>954</v>
      </c>
      <c r="H94" s="10" t="s">
        <v>955</v>
      </c>
      <c r="I94" s="10" t="s">
        <v>54</v>
      </c>
      <c r="J94" s="10" t="s">
        <v>956</v>
      </c>
      <c r="K94" s="10" t="s">
        <v>13</v>
      </c>
      <c r="L94" s="17" t="s">
        <v>1983</v>
      </c>
      <c r="M94" s="11" t="s">
        <v>137</v>
      </c>
      <c r="N94" s="19"/>
    </row>
    <row r="95" spans="1:14" ht="56" x14ac:dyDescent="0.35">
      <c r="A95" s="9" t="s">
        <v>600</v>
      </c>
      <c r="B95" s="10" t="s">
        <v>135</v>
      </c>
      <c r="C95" s="11" t="s">
        <v>957</v>
      </c>
      <c r="D95" s="10">
        <v>10</v>
      </c>
      <c r="E95" s="10" t="s">
        <v>91</v>
      </c>
      <c r="F95" s="10" t="s">
        <v>467</v>
      </c>
      <c r="G95" s="10" t="s">
        <v>958</v>
      </c>
      <c r="H95" s="10" t="s">
        <v>474</v>
      </c>
      <c r="I95" s="10" t="s">
        <v>54</v>
      </c>
      <c r="J95" s="10" t="s">
        <v>959</v>
      </c>
      <c r="K95" s="10" t="s">
        <v>10</v>
      </c>
      <c r="L95" s="22" t="s">
        <v>1985</v>
      </c>
      <c r="M95" s="11" t="s">
        <v>137</v>
      </c>
      <c r="N95" s="22" t="s">
        <v>1986</v>
      </c>
    </row>
    <row r="96" spans="1:14" ht="42" x14ac:dyDescent="0.35">
      <c r="A96" s="9" t="s">
        <v>601</v>
      </c>
      <c r="B96" s="10" t="s">
        <v>135</v>
      </c>
      <c r="C96" s="11" t="s">
        <v>475</v>
      </c>
      <c r="D96" s="10">
        <v>8</v>
      </c>
      <c r="E96" s="10" t="s">
        <v>91</v>
      </c>
      <c r="F96" s="10" t="s">
        <v>476</v>
      </c>
      <c r="G96" s="10" t="s">
        <v>477</v>
      </c>
      <c r="H96" s="10" t="s">
        <v>960</v>
      </c>
      <c r="I96" s="10" t="s">
        <v>478</v>
      </c>
      <c r="J96" s="10" t="s">
        <v>961</v>
      </c>
      <c r="K96" s="10" t="s">
        <v>10</v>
      </c>
      <c r="L96" s="17" t="s">
        <v>1983</v>
      </c>
      <c r="M96" s="11" t="s">
        <v>137</v>
      </c>
      <c r="N96" s="19"/>
    </row>
    <row r="97" spans="1:14" ht="28" x14ac:dyDescent="0.35">
      <c r="A97" s="9" t="s">
        <v>602</v>
      </c>
      <c r="B97" s="10" t="s">
        <v>135</v>
      </c>
      <c r="C97" s="11" t="s">
        <v>479</v>
      </c>
      <c r="D97" s="10">
        <v>7</v>
      </c>
      <c r="E97" s="10" t="s">
        <v>19</v>
      </c>
      <c r="F97" s="10" t="s">
        <v>476</v>
      </c>
      <c r="G97" s="10" t="s">
        <v>480</v>
      </c>
      <c r="H97" s="10" t="s">
        <v>962</v>
      </c>
      <c r="I97" s="10" t="s">
        <v>481</v>
      </c>
      <c r="J97" s="10" t="s">
        <v>963</v>
      </c>
      <c r="K97" s="10" t="s">
        <v>10</v>
      </c>
      <c r="L97" s="17" t="s">
        <v>1983</v>
      </c>
      <c r="M97" s="11" t="s">
        <v>137</v>
      </c>
      <c r="N97" s="19"/>
    </row>
    <row r="98" spans="1:14" ht="28" x14ac:dyDescent="0.35">
      <c r="A98" s="9" t="s">
        <v>603</v>
      </c>
      <c r="B98" s="10" t="s">
        <v>135</v>
      </c>
      <c r="C98" s="11" t="s">
        <v>964</v>
      </c>
      <c r="D98" s="10">
        <v>7</v>
      </c>
      <c r="E98" s="10" t="s">
        <v>19</v>
      </c>
      <c r="F98" s="10" t="s">
        <v>483</v>
      </c>
      <c r="G98" s="10" t="s">
        <v>771</v>
      </c>
      <c r="H98" s="10" t="s">
        <v>1615</v>
      </c>
      <c r="I98" s="10" t="s">
        <v>485</v>
      </c>
      <c r="J98" s="10" t="s">
        <v>965</v>
      </c>
      <c r="K98" s="10" t="s">
        <v>10</v>
      </c>
      <c r="L98" s="22" t="s">
        <v>1985</v>
      </c>
      <c r="M98" s="11" t="s">
        <v>137</v>
      </c>
      <c r="N98" s="19"/>
    </row>
    <row r="99" spans="1:14" ht="56" x14ac:dyDescent="0.35">
      <c r="A99" s="9" t="s">
        <v>604</v>
      </c>
      <c r="B99" s="10" t="s">
        <v>135</v>
      </c>
      <c r="C99" s="11" t="s">
        <v>966</v>
      </c>
      <c r="D99" s="10">
        <v>7</v>
      </c>
      <c r="E99" s="10" t="s">
        <v>19</v>
      </c>
      <c r="F99" s="10" t="s">
        <v>483</v>
      </c>
      <c r="G99" s="10" t="s">
        <v>771</v>
      </c>
      <c r="H99" s="10" t="s">
        <v>1616</v>
      </c>
      <c r="I99" s="12" t="s">
        <v>487</v>
      </c>
      <c r="J99" s="10" t="s">
        <v>967</v>
      </c>
      <c r="K99" s="10" t="s">
        <v>10</v>
      </c>
      <c r="L99" s="22" t="s">
        <v>1985</v>
      </c>
      <c r="M99" s="11" t="s">
        <v>137</v>
      </c>
      <c r="N99" s="22" t="s">
        <v>1986</v>
      </c>
    </row>
    <row r="100" spans="1:14" ht="42" x14ac:dyDescent="0.35">
      <c r="A100" s="9" t="s">
        <v>605</v>
      </c>
      <c r="B100" s="10" t="s">
        <v>135</v>
      </c>
      <c r="C100" s="11" t="s">
        <v>488</v>
      </c>
      <c r="D100" s="10">
        <v>6</v>
      </c>
      <c r="E100" s="10" t="s">
        <v>483</v>
      </c>
      <c r="F100" s="10" t="s">
        <v>489</v>
      </c>
      <c r="G100" s="10" t="s">
        <v>771</v>
      </c>
      <c r="H100" s="10" t="s">
        <v>2097</v>
      </c>
      <c r="I100" s="10" t="s">
        <v>968</v>
      </c>
      <c r="J100" s="10" t="s">
        <v>969</v>
      </c>
      <c r="K100" s="10" t="s">
        <v>13</v>
      </c>
      <c r="L100" s="17" t="s">
        <v>1983</v>
      </c>
      <c r="M100" s="11" t="s">
        <v>137</v>
      </c>
      <c r="N100" s="19"/>
    </row>
    <row r="101" spans="1:14" ht="28" x14ac:dyDescent="0.35">
      <c r="A101" s="9" t="s">
        <v>606</v>
      </c>
      <c r="B101" s="10" t="s">
        <v>135</v>
      </c>
      <c r="C101" s="11" t="s">
        <v>970</v>
      </c>
      <c r="D101" s="10">
        <v>5</v>
      </c>
      <c r="E101" s="10" t="s">
        <v>483</v>
      </c>
      <c r="F101" s="10" t="s">
        <v>489</v>
      </c>
      <c r="G101" s="10" t="s">
        <v>771</v>
      </c>
      <c r="H101" s="10" t="s">
        <v>2096</v>
      </c>
      <c r="I101" s="10" t="s">
        <v>971</v>
      </c>
      <c r="J101" s="10" t="s">
        <v>2095</v>
      </c>
      <c r="K101" s="10" t="s">
        <v>14</v>
      </c>
      <c r="L101" s="17" t="s">
        <v>1983</v>
      </c>
      <c r="M101" s="11" t="s">
        <v>137</v>
      </c>
      <c r="N101" s="19"/>
    </row>
    <row r="102" spans="1:14" ht="42" x14ac:dyDescent="0.35">
      <c r="A102" s="9" t="s">
        <v>607</v>
      </c>
      <c r="B102" s="10" t="s">
        <v>135</v>
      </c>
      <c r="C102" s="11" t="s">
        <v>973</v>
      </c>
      <c r="D102" s="10">
        <v>10</v>
      </c>
      <c r="E102" s="10" t="s">
        <v>19</v>
      </c>
      <c r="F102" s="10" t="s">
        <v>494</v>
      </c>
      <c r="G102" s="10" t="s">
        <v>771</v>
      </c>
      <c r="H102" s="10" t="s">
        <v>2093</v>
      </c>
      <c r="I102" s="10" t="s">
        <v>54</v>
      </c>
      <c r="J102" s="10" t="s">
        <v>2094</v>
      </c>
      <c r="K102" s="10" t="s">
        <v>10</v>
      </c>
      <c r="L102" s="17" t="s">
        <v>1983</v>
      </c>
      <c r="M102" s="11" t="s">
        <v>137</v>
      </c>
      <c r="N102" s="19"/>
    </row>
    <row r="103" spans="1:14" ht="28" x14ac:dyDescent="0.35">
      <c r="A103" s="9" t="s">
        <v>608</v>
      </c>
      <c r="B103" s="10" t="s">
        <v>135</v>
      </c>
      <c r="C103" s="11" t="s">
        <v>975</v>
      </c>
      <c r="D103" s="10">
        <v>6</v>
      </c>
      <c r="E103" s="10" t="s">
        <v>19</v>
      </c>
      <c r="F103" s="10" t="s">
        <v>497</v>
      </c>
      <c r="G103" s="10" t="s">
        <v>54</v>
      </c>
      <c r="H103" s="10" t="s">
        <v>976</v>
      </c>
      <c r="I103" s="10" t="s">
        <v>54</v>
      </c>
      <c r="J103" s="10" t="s">
        <v>977</v>
      </c>
      <c r="K103" s="10" t="s">
        <v>10</v>
      </c>
      <c r="L103" s="22" t="s">
        <v>1985</v>
      </c>
      <c r="M103" s="11" t="s">
        <v>137</v>
      </c>
      <c r="N103" s="23" t="s">
        <v>1991</v>
      </c>
    </row>
    <row r="104" spans="1:14" ht="28" x14ac:dyDescent="0.35">
      <c r="A104" s="9" t="s">
        <v>609</v>
      </c>
      <c r="B104" s="10" t="s">
        <v>135</v>
      </c>
      <c r="C104" s="11" t="s">
        <v>978</v>
      </c>
      <c r="D104" s="10">
        <v>6</v>
      </c>
      <c r="E104" s="10" t="s">
        <v>19</v>
      </c>
      <c r="F104" s="10" t="s">
        <v>497</v>
      </c>
      <c r="G104" s="10" t="s">
        <v>500</v>
      </c>
      <c r="H104" s="10" t="s">
        <v>979</v>
      </c>
      <c r="I104" s="10" t="s">
        <v>54</v>
      </c>
      <c r="J104" s="10" t="s">
        <v>2066</v>
      </c>
      <c r="K104" s="10" t="s">
        <v>10</v>
      </c>
      <c r="L104" s="22" t="s">
        <v>1985</v>
      </c>
      <c r="M104" s="11" t="s">
        <v>137</v>
      </c>
      <c r="N104" s="23" t="s">
        <v>1991</v>
      </c>
    </row>
    <row r="105" spans="1:14" ht="42" x14ac:dyDescent="0.35">
      <c r="A105" s="9" t="s">
        <v>610</v>
      </c>
      <c r="B105" s="10" t="s">
        <v>135</v>
      </c>
      <c r="C105" s="11" t="s">
        <v>980</v>
      </c>
      <c r="D105" s="10">
        <v>12</v>
      </c>
      <c r="E105" s="10" t="s">
        <v>91</v>
      </c>
      <c r="F105" s="10" t="s">
        <v>313</v>
      </c>
      <c r="G105" s="10" t="s">
        <v>981</v>
      </c>
      <c r="H105" s="10" t="s">
        <v>982</v>
      </c>
      <c r="I105" s="10" t="s">
        <v>54</v>
      </c>
      <c r="J105" s="10" t="s">
        <v>2065</v>
      </c>
      <c r="K105" s="10" t="s">
        <v>10</v>
      </c>
      <c r="L105" s="17" t="s">
        <v>1983</v>
      </c>
      <c r="M105" s="11" t="s">
        <v>137</v>
      </c>
      <c r="N105" s="19"/>
    </row>
    <row r="106" spans="1:14" ht="42" x14ac:dyDescent="0.35">
      <c r="A106" s="9" t="s">
        <v>611</v>
      </c>
      <c r="B106" s="10" t="s">
        <v>135</v>
      </c>
      <c r="C106" s="11" t="s">
        <v>983</v>
      </c>
      <c r="D106" s="10">
        <v>15</v>
      </c>
      <c r="E106" s="10" t="s">
        <v>200</v>
      </c>
      <c r="F106" s="10" t="s">
        <v>508</v>
      </c>
      <c r="G106" s="10" t="s">
        <v>950</v>
      </c>
      <c r="H106" s="10" t="s">
        <v>1973</v>
      </c>
      <c r="I106" s="10" t="s">
        <v>54</v>
      </c>
      <c r="J106" s="10" t="s">
        <v>2064</v>
      </c>
      <c r="K106" s="10" t="s">
        <v>13</v>
      </c>
      <c r="L106" s="22" t="s">
        <v>1985</v>
      </c>
      <c r="M106" s="11" t="s">
        <v>137</v>
      </c>
      <c r="N106" s="19"/>
    </row>
    <row r="107" spans="1:14" ht="42" x14ac:dyDescent="0.35">
      <c r="A107" s="9" t="s">
        <v>612</v>
      </c>
      <c r="B107" s="10" t="s">
        <v>135</v>
      </c>
      <c r="C107" s="11" t="s">
        <v>985</v>
      </c>
      <c r="D107" s="10">
        <v>15</v>
      </c>
      <c r="E107" s="10" t="s">
        <v>200</v>
      </c>
      <c r="F107" s="10" t="s">
        <v>511</v>
      </c>
      <c r="G107" s="10" t="s">
        <v>512</v>
      </c>
      <c r="H107" s="10" t="s">
        <v>2091</v>
      </c>
      <c r="I107" s="10" t="s">
        <v>54</v>
      </c>
      <c r="J107" s="10" t="s">
        <v>2092</v>
      </c>
      <c r="K107" s="10" t="s">
        <v>13</v>
      </c>
      <c r="L107" s="22" t="s">
        <v>1985</v>
      </c>
      <c r="M107" s="11" t="s">
        <v>137</v>
      </c>
      <c r="N107" s="19"/>
    </row>
  </sheetData>
  <mergeCells count="1">
    <mergeCell ref="E1:G1"/>
  </mergeCells>
  <phoneticPr fontId="1" type="noConversion"/>
  <dataValidations count="2">
    <dataValidation type="list" allowBlank="1" showInputMessage="1" showErrorMessage="1" sqref="I8:I66" xr:uid="{69D271CE-0665-4596-9D4A-5DD9450C8DFF}">
      <formula1>"HIGH, NORMAL, LOW"</formula1>
    </dataValidation>
    <dataValidation type="list" allowBlank="1" showInputMessage="1" showErrorMessage="1" sqref="L8:L107" xr:uid="{E445586C-863D-4DF2-871C-88AFFC674715}">
      <formula1>"PASS, FAIL, BLOCKED"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FDABF-F82B-40B9-BE3A-B4D33EDBA2B9}">
  <dimension ref="A1:N107"/>
  <sheetViews>
    <sheetView topLeftCell="B8" zoomScale="70" zoomScaleNormal="70" workbookViewId="0">
      <selection activeCell="K13" sqref="K13"/>
    </sheetView>
  </sheetViews>
  <sheetFormatPr defaultRowHeight="14.5" x14ac:dyDescent="0.35"/>
  <cols>
    <col min="1" max="1" width="10.7265625" style="2" customWidth="1"/>
    <col min="2" max="2" width="32.1796875" style="8" customWidth="1"/>
    <col min="3" max="3" width="45.08984375" style="2" customWidth="1"/>
    <col min="4" max="4" width="16.08984375" style="2" bestFit="1" customWidth="1"/>
    <col min="5" max="5" width="13.54296875" style="2" customWidth="1"/>
    <col min="6" max="6" width="19.90625" style="2" bestFit="1" customWidth="1"/>
    <col min="7" max="7" width="41.54296875" style="2" customWidth="1"/>
    <col min="8" max="8" width="26" style="3" customWidth="1"/>
    <col min="9" max="9" width="18.08984375" style="2" customWidth="1"/>
    <col min="10" max="10" width="22.1796875" customWidth="1"/>
    <col min="11" max="12" width="14.08984375" customWidth="1"/>
    <col min="13" max="13" width="17.81640625" style="2" bestFit="1" customWidth="1"/>
    <col min="14" max="14" width="15" style="20" customWidth="1"/>
  </cols>
  <sheetData>
    <row r="1" spans="1:14" ht="22.5" x14ac:dyDescent="0.35">
      <c r="C1" s="19" t="s">
        <v>1999</v>
      </c>
      <c r="E1" s="26" t="s">
        <v>1992</v>
      </c>
      <c r="F1" s="26"/>
      <c r="G1" s="26"/>
    </row>
    <row r="2" spans="1:14" x14ac:dyDescent="0.35">
      <c r="C2" s="19">
        <v>100</v>
      </c>
      <c r="E2" s="14" t="s">
        <v>1980</v>
      </c>
      <c r="F2" s="14" t="s">
        <v>1993</v>
      </c>
      <c r="G2" s="14" t="s">
        <v>1994</v>
      </c>
    </row>
    <row r="3" spans="1:14" x14ac:dyDescent="0.35">
      <c r="E3" s="14" t="s">
        <v>1983</v>
      </c>
      <c r="F3" s="14">
        <f>COUNTIF(L8:L107,"PASS")</f>
        <v>74</v>
      </c>
      <c r="G3" s="24">
        <f>F3/$C$2</f>
        <v>0.74</v>
      </c>
    </row>
    <row r="4" spans="1:14" x14ac:dyDescent="0.35">
      <c r="E4" s="14" t="s">
        <v>1981</v>
      </c>
      <c r="F4" s="14">
        <f>COUNTIF(L8:L107,"FAIL")</f>
        <v>0</v>
      </c>
      <c r="G4" s="24">
        <f t="shared" ref="G4:G5" si="0">F4/$C$2</f>
        <v>0</v>
      </c>
    </row>
    <row r="5" spans="1:14" x14ac:dyDescent="0.35">
      <c r="E5" s="14" t="s">
        <v>1985</v>
      </c>
      <c r="F5" s="14">
        <f>COUNTIF(L8:L107,"BLOCKED")</f>
        <v>26</v>
      </c>
      <c r="G5" s="24">
        <f t="shared" si="0"/>
        <v>0.26</v>
      </c>
    </row>
    <row r="7" spans="1:14" s="4" customFormat="1" ht="14" x14ac:dyDescent="0.3">
      <c r="A7" s="6" t="s">
        <v>0</v>
      </c>
      <c r="B7" s="5" t="s">
        <v>21</v>
      </c>
      <c r="C7" s="7" t="s">
        <v>1</v>
      </c>
      <c r="D7" s="5" t="s">
        <v>2</v>
      </c>
      <c r="E7" s="5" t="s">
        <v>11</v>
      </c>
      <c r="F7" s="5" t="s">
        <v>3</v>
      </c>
      <c r="G7" s="5" t="s">
        <v>22</v>
      </c>
      <c r="H7" s="5" t="s">
        <v>4</v>
      </c>
      <c r="I7" s="5" t="s">
        <v>23</v>
      </c>
      <c r="J7" s="5" t="s">
        <v>5</v>
      </c>
      <c r="K7" s="5" t="s">
        <v>6</v>
      </c>
      <c r="L7" s="5" t="s">
        <v>1980</v>
      </c>
      <c r="M7" s="5" t="s">
        <v>7</v>
      </c>
      <c r="N7" s="5" t="s">
        <v>1982</v>
      </c>
    </row>
    <row r="8" spans="1:14" ht="98" x14ac:dyDescent="0.35">
      <c r="A8" s="9" t="s">
        <v>987</v>
      </c>
      <c r="B8" s="10" t="s">
        <v>135</v>
      </c>
      <c r="C8" s="10" t="s">
        <v>1088</v>
      </c>
      <c r="D8" s="10">
        <v>5</v>
      </c>
      <c r="E8" s="10" t="s">
        <v>8</v>
      </c>
      <c r="F8" s="10" t="s">
        <v>26</v>
      </c>
      <c r="G8" s="10" t="s">
        <v>1089</v>
      </c>
      <c r="H8" s="10" t="s">
        <v>1132</v>
      </c>
      <c r="I8" s="10" t="s">
        <v>1090</v>
      </c>
      <c r="J8" s="10" t="s">
        <v>1133</v>
      </c>
      <c r="K8" s="10" t="s">
        <v>10</v>
      </c>
      <c r="L8" s="17" t="s">
        <v>1983</v>
      </c>
      <c r="M8" s="10" t="s">
        <v>137</v>
      </c>
      <c r="N8" s="19"/>
    </row>
    <row r="9" spans="1:14" ht="56" x14ac:dyDescent="0.35">
      <c r="A9" s="9" t="s">
        <v>988</v>
      </c>
      <c r="B9" s="10" t="s">
        <v>135</v>
      </c>
      <c r="C9" s="10" t="s">
        <v>1091</v>
      </c>
      <c r="D9" s="10">
        <v>3</v>
      </c>
      <c r="E9" s="10" t="s">
        <v>483</v>
      </c>
      <c r="F9" s="10" t="s">
        <v>26</v>
      </c>
      <c r="G9" s="10" t="s">
        <v>1092</v>
      </c>
      <c r="H9" s="10" t="s">
        <v>1134</v>
      </c>
      <c r="I9" s="10" t="s">
        <v>1093</v>
      </c>
      <c r="J9" s="10" t="s">
        <v>2105</v>
      </c>
      <c r="K9" s="10" t="s">
        <v>10</v>
      </c>
      <c r="L9" s="17" t="s">
        <v>1983</v>
      </c>
      <c r="M9" s="10" t="s">
        <v>137</v>
      </c>
      <c r="N9" s="19"/>
    </row>
    <row r="10" spans="1:14" ht="70" x14ac:dyDescent="0.35">
      <c r="A10" s="9" t="s">
        <v>989</v>
      </c>
      <c r="B10" s="10" t="s">
        <v>135</v>
      </c>
      <c r="C10" s="10" t="s">
        <v>1094</v>
      </c>
      <c r="D10" s="10">
        <v>3</v>
      </c>
      <c r="E10" s="10" t="s">
        <v>483</v>
      </c>
      <c r="F10" s="10" t="s">
        <v>26</v>
      </c>
      <c r="G10" s="10" t="s">
        <v>1092</v>
      </c>
      <c r="H10" s="10" t="s">
        <v>2107</v>
      </c>
      <c r="I10" s="10" t="s">
        <v>1095</v>
      </c>
      <c r="J10" s="10" t="s">
        <v>2106</v>
      </c>
      <c r="K10" s="10" t="s">
        <v>10</v>
      </c>
      <c r="L10" s="17" t="s">
        <v>1983</v>
      </c>
      <c r="M10" s="10" t="s">
        <v>137</v>
      </c>
      <c r="N10" s="19"/>
    </row>
    <row r="11" spans="1:14" ht="84" x14ac:dyDescent="0.35">
      <c r="A11" s="9" t="s">
        <v>990</v>
      </c>
      <c r="B11" s="10" t="s">
        <v>135</v>
      </c>
      <c r="C11" s="10" t="s">
        <v>1096</v>
      </c>
      <c r="D11" s="10">
        <v>3</v>
      </c>
      <c r="E11" s="10" t="s">
        <v>483</v>
      </c>
      <c r="F11" s="10" t="s">
        <v>26</v>
      </c>
      <c r="G11" s="10" t="s">
        <v>1097</v>
      </c>
      <c r="H11" s="10" t="s">
        <v>1135</v>
      </c>
      <c r="I11" s="10" t="s">
        <v>1098</v>
      </c>
      <c r="J11" s="10" t="s">
        <v>2108</v>
      </c>
      <c r="K11" s="10" t="s">
        <v>10</v>
      </c>
      <c r="L11" s="17" t="s">
        <v>1983</v>
      </c>
      <c r="M11" s="10" t="s">
        <v>137</v>
      </c>
      <c r="N11" s="19"/>
    </row>
    <row r="12" spans="1:14" ht="42" x14ac:dyDescent="0.35">
      <c r="A12" s="9" t="s">
        <v>991</v>
      </c>
      <c r="B12" s="10" t="s">
        <v>135</v>
      </c>
      <c r="C12" s="10" t="s">
        <v>1099</v>
      </c>
      <c r="D12" s="10">
        <v>4</v>
      </c>
      <c r="E12" s="10" t="s">
        <v>8</v>
      </c>
      <c r="F12" s="10" t="s">
        <v>26</v>
      </c>
      <c r="G12" s="10" t="s">
        <v>1092</v>
      </c>
      <c r="H12" s="10" t="s">
        <v>1136</v>
      </c>
      <c r="I12" s="10" t="s">
        <v>1100</v>
      </c>
      <c r="J12" s="10" t="s">
        <v>2109</v>
      </c>
      <c r="K12" s="10" t="s">
        <v>13</v>
      </c>
      <c r="L12" s="17" t="s">
        <v>1983</v>
      </c>
      <c r="M12" s="10" t="s">
        <v>137</v>
      </c>
      <c r="N12" s="19"/>
    </row>
    <row r="13" spans="1:14" ht="42" x14ac:dyDescent="0.35">
      <c r="A13" s="9" t="s">
        <v>992</v>
      </c>
      <c r="B13" s="10" t="s">
        <v>135</v>
      </c>
      <c r="C13" s="10" t="s">
        <v>1101</v>
      </c>
      <c r="D13" s="10">
        <v>4</v>
      </c>
      <c r="E13" s="10" t="s">
        <v>8</v>
      </c>
      <c r="F13" s="10" t="s">
        <v>26</v>
      </c>
      <c r="G13" s="10" t="s">
        <v>1092</v>
      </c>
      <c r="H13" s="10" t="s">
        <v>1137</v>
      </c>
      <c r="I13" s="10" t="s">
        <v>1102</v>
      </c>
      <c r="J13" s="10" t="s">
        <v>2110</v>
      </c>
      <c r="K13" s="10" t="s">
        <v>13</v>
      </c>
      <c r="L13" s="17" t="s">
        <v>1983</v>
      </c>
      <c r="M13" s="10" t="s">
        <v>137</v>
      </c>
      <c r="N13" s="19"/>
    </row>
    <row r="14" spans="1:14" ht="56" x14ac:dyDescent="0.35">
      <c r="A14" s="9" t="s">
        <v>993</v>
      </c>
      <c r="B14" s="10" t="s">
        <v>135</v>
      </c>
      <c r="C14" s="10" t="s">
        <v>1103</v>
      </c>
      <c r="D14" s="10">
        <v>2</v>
      </c>
      <c r="E14" s="10" t="s">
        <v>8</v>
      </c>
      <c r="F14" s="10" t="s">
        <v>26</v>
      </c>
      <c r="G14" s="10" t="s">
        <v>1092</v>
      </c>
      <c r="H14" s="10" t="s">
        <v>1138</v>
      </c>
      <c r="I14" s="10" t="s">
        <v>54</v>
      </c>
      <c r="J14" s="10" t="s">
        <v>1156</v>
      </c>
      <c r="K14" s="10" t="s">
        <v>14</v>
      </c>
      <c r="L14" s="17" t="s">
        <v>1983</v>
      </c>
      <c r="M14" s="10" t="s">
        <v>137</v>
      </c>
      <c r="N14" s="19"/>
    </row>
    <row r="15" spans="1:14" ht="42" x14ac:dyDescent="0.35">
      <c r="A15" s="9" t="s">
        <v>994</v>
      </c>
      <c r="B15" s="10" t="s">
        <v>135</v>
      </c>
      <c r="C15" s="10" t="s">
        <v>1104</v>
      </c>
      <c r="D15" s="10">
        <v>5</v>
      </c>
      <c r="E15" s="10" t="s">
        <v>483</v>
      </c>
      <c r="F15" s="10" t="s">
        <v>26</v>
      </c>
      <c r="G15" s="10" t="s">
        <v>1092</v>
      </c>
      <c r="H15" s="10" t="s">
        <v>1139</v>
      </c>
      <c r="I15" s="10" t="s">
        <v>968</v>
      </c>
      <c r="J15" s="10" t="s">
        <v>1155</v>
      </c>
      <c r="K15" s="10" t="s">
        <v>13</v>
      </c>
      <c r="L15" s="17" t="s">
        <v>1983</v>
      </c>
      <c r="M15" s="10" t="s">
        <v>137</v>
      </c>
      <c r="N15" s="19"/>
    </row>
    <row r="16" spans="1:14" ht="56" x14ac:dyDescent="0.35">
      <c r="A16" s="9" t="s">
        <v>995</v>
      </c>
      <c r="B16" s="10" t="s">
        <v>135</v>
      </c>
      <c r="C16" s="10" t="s">
        <v>1105</v>
      </c>
      <c r="D16" s="10">
        <v>4</v>
      </c>
      <c r="E16" s="10" t="s">
        <v>483</v>
      </c>
      <c r="F16" s="10" t="s">
        <v>26</v>
      </c>
      <c r="G16" s="10" t="s">
        <v>1092</v>
      </c>
      <c r="H16" s="10" t="s">
        <v>1140</v>
      </c>
      <c r="I16" s="10" t="s">
        <v>1106</v>
      </c>
      <c r="J16" s="10" t="s">
        <v>1154</v>
      </c>
      <c r="K16" s="10" t="s">
        <v>13</v>
      </c>
      <c r="L16" s="17" t="s">
        <v>1983</v>
      </c>
      <c r="M16" s="10" t="s">
        <v>137</v>
      </c>
      <c r="N16" s="19"/>
    </row>
    <row r="17" spans="1:14" ht="70" x14ac:dyDescent="0.35">
      <c r="A17" s="9" t="s">
        <v>996</v>
      </c>
      <c r="B17" s="10" t="s">
        <v>135</v>
      </c>
      <c r="C17" s="10" t="s">
        <v>1107</v>
      </c>
      <c r="D17" s="10">
        <v>5</v>
      </c>
      <c r="E17" s="10" t="s">
        <v>8</v>
      </c>
      <c r="F17" s="10" t="s">
        <v>26</v>
      </c>
      <c r="G17" s="10" t="s">
        <v>1092</v>
      </c>
      <c r="H17" s="10" t="s">
        <v>1141</v>
      </c>
      <c r="I17" s="10" t="s">
        <v>1108</v>
      </c>
      <c r="J17" s="10" t="s">
        <v>2111</v>
      </c>
      <c r="K17" s="10" t="s">
        <v>13</v>
      </c>
      <c r="L17" s="17" t="s">
        <v>1983</v>
      </c>
      <c r="M17" s="10" t="s">
        <v>137</v>
      </c>
      <c r="N17" s="19"/>
    </row>
    <row r="18" spans="1:14" ht="42" x14ac:dyDescent="0.35">
      <c r="A18" s="9" t="s">
        <v>997</v>
      </c>
      <c r="B18" s="10" t="s">
        <v>135</v>
      </c>
      <c r="C18" s="10" t="s">
        <v>1109</v>
      </c>
      <c r="D18" s="10">
        <v>3</v>
      </c>
      <c r="E18" s="10" t="s">
        <v>8</v>
      </c>
      <c r="F18" s="10" t="s">
        <v>57</v>
      </c>
      <c r="G18" s="10" t="s">
        <v>1110</v>
      </c>
      <c r="H18" s="10" t="s">
        <v>1142</v>
      </c>
      <c r="I18" s="10" t="s">
        <v>1111</v>
      </c>
      <c r="J18" s="10" t="s">
        <v>2112</v>
      </c>
      <c r="K18" s="10" t="s">
        <v>10</v>
      </c>
      <c r="L18" s="17" t="s">
        <v>1983</v>
      </c>
      <c r="M18" s="10" t="s">
        <v>137</v>
      </c>
      <c r="N18" s="19"/>
    </row>
    <row r="19" spans="1:14" ht="42" x14ac:dyDescent="0.35">
      <c r="A19" s="9" t="s">
        <v>998</v>
      </c>
      <c r="B19" s="10" t="s">
        <v>135</v>
      </c>
      <c r="C19" s="10" t="s">
        <v>1112</v>
      </c>
      <c r="D19" s="10">
        <v>3</v>
      </c>
      <c r="E19" s="10" t="s">
        <v>8</v>
      </c>
      <c r="F19" s="10" t="s">
        <v>57</v>
      </c>
      <c r="G19" s="10" t="s">
        <v>1113</v>
      </c>
      <c r="H19" s="10" t="s">
        <v>1143</v>
      </c>
      <c r="I19" s="10" t="s">
        <v>1100</v>
      </c>
      <c r="J19" s="10" t="s">
        <v>2113</v>
      </c>
      <c r="K19" s="10" t="s">
        <v>13</v>
      </c>
      <c r="L19" s="17" t="s">
        <v>1983</v>
      </c>
      <c r="M19" s="10" t="s">
        <v>137</v>
      </c>
      <c r="N19" s="19"/>
    </row>
    <row r="20" spans="1:14" ht="42" x14ac:dyDescent="0.35">
      <c r="A20" s="9" t="s">
        <v>999</v>
      </c>
      <c r="B20" s="10" t="s">
        <v>135</v>
      </c>
      <c r="C20" s="10" t="s">
        <v>1114</v>
      </c>
      <c r="D20" s="10">
        <v>3</v>
      </c>
      <c r="E20" s="10" t="s">
        <v>8</v>
      </c>
      <c r="F20" s="10" t="s">
        <v>57</v>
      </c>
      <c r="G20" s="10" t="s">
        <v>1115</v>
      </c>
      <c r="H20" s="10" t="s">
        <v>1144</v>
      </c>
      <c r="I20" s="10" t="s">
        <v>1116</v>
      </c>
      <c r="J20" s="10" t="s">
        <v>2114</v>
      </c>
      <c r="K20" s="10" t="s">
        <v>13</v>
      </c>
      <c r="L20" s="17" t="s">
        <v>1983</v>
      </c>
      <c r="M20" s="10" t="s">
        <v>137</v>
      </c>
      <c r="N20" s="19"/>
    </row>
    <row r="21" spans="1:14" ht="42" x14ac:dyDescent="0.35">
      <c r="A21" s="9" t="s">
        <v>1000</v>
      </c>
      <c r="B21" s="10" t="s">
        <v>135</v>
      </c>
      <c r="C21" s="10" t="s">
        <v>879</v>
      </c>
      <c r="D21" s="10">
        <v>3</v>
      </c>
      <c r="E21" s="10" t="s">
        <v>8</v>
      </c>
      <c r="F21" s="10" t="s">
        <v>57</v>
      </c>
      <c r="G21" s="10" t="s">
        <v>1117</v>
      </c>
      <c r="H21" s="10" t="s">
        <v>1145</v>
      </c>
      <c r="I21" s="10" t="s">
        <v>1118</v>
      </c>
      <c r="J21" s="10" t="s">
        <v>2115</v>
      </c>
      <c r="K21" s="10" t="s">
        <v>13</v>
      </c>
      <c r="L21" s="17" t="s">
        <v>1983</v>
      </c>
      <c r="M21" s="10" t="s">
        <v>137</v>
      </c>
      <c r="N21" s="19"/>
    </row>
    <row r="22" spans="1:14" ht="42" x14ac:dyDescent="0.35">
      <c r="A22" s="9" t="s">
        <v>1001</v>
      </c>
      <c r="B22" s="10" t="s">
        <v>135</v>
      </c>
      <c r="C22" s="10" t="s">
        <v>1119</v>
      </c>
      <c r="D22" s="10">
        <v>3</v>
      </c>
      <c r="E22" s="10" t="s">
        <v>8</v>
      </c>
      <c r="F22" s="10" t="s">
        <v>57</v>
      </c>
      <c r="G22" s="10" t="s">
        <v>634</v>
      </c>
      <c r="H22" s="10" t="s">
        <v>1146</v>
      </c>
      <c r="I22" s="10" t="s">
        <v>63</v>
      </c>
      <c r="J22" s="10" t="s">
        <v>2116</v>
      </c>
      <c r="K22" s="10" t="s">
        <v>13</v>
      </c>
      <c r="L22" s="17" t="s">
        <v>1983</v>
      </c>
      <c r="M22" s="10" t="s">
        <v>137</v>
      </c>
      <c r="N22" s="19"/>
    </row>
    <row r="23" spans="1:14" ht="42" x14ac:dyDescent="0.35">
      <c r="A23" s="9" t="s">
        <v>1002</v>
      </c>
      <c r="B23" s="10" t="s">
        <v>135</v>
      </c>
      <c r="C23" s="10" t="s">
        <v>1120</v>
      </c>
      <c r="D23" s="10">
        <v>3</v>
      </c>
      <c r="E23" s="10" t="s">
        <v>8</v>
      </c>
      <c r="F23" s="10" t="s">
        <v>57</v>
      </c>
      <c r="G23" s="10" t="s">
        <v>1121</v>
      </c>
      <c r="H23" s="10" t="s">
        <v>1147</v>
      </c>
      <c r="I23" s="10" t="s">
        <v>1122</v>
      </c>
      <c r="J23" s="10" t="s">
        <v>1153</v>
      </c>
      <c r="K23" s="10" t="s">
        <v>14</v>
      </c>
      <c r="L23" s="17" t="s">
        <v>1983</v>
      </c>
      <c r="M23" s="10" t="s">
        <v>137</v>
      </c>
      <c r="N23" s="19"/>
    </row>
    <row r="24" spans="1:14" ht="42" x14ac:dyDescent="0.35">
      <c r="A24" s="9" t="s">
        <v>1003</v>
      </c>
      <c r="B24" s="10" t="s">
        <v>135</v>
      </c>
      <c r="C24" s="10" t="s">
        <v>1123</v>
      </c>
      <c r="D24" s="10">
        <v>3</v>
      </c>
      <c r="E24" s="10" t="s">
        <v>8</v>
      </c>
      <c r="F24" s="10" t="s">
        <v>57</v>
      </c>
      <c r="G24" s="10" t="s">
        <v>1124</v>
      </c>
      <c r="H24" s="10" t="s">
        <v>1125</v>
      </c>
      <c r="I24" s="10" t="s">
        <v>1126</v>
      </c>
      <c r="J24" s="10" t="s">
        <v>1152</v>
      </c>
      <c r="K24" s="10" t="s">
        <v>13</v>
      </c>
      <c r="L24" s="17" t="s">
        <v>1983</v>
      </c>
      <c r="M24" s="10" t="s">
        <v>137</v>
      </c>
      <c r="N24" s="19"/>
    </row>
    <row r="25" spans="1:14" ht="42" x14ac:dyDescent="0.35">
      <c r="A25" s="9" t="s">
        <v>1004</v>
      </c>
      <c r="B25" s="10" t="s">
        <v>135</v>
      </c>
      <c r="C25" s="10" t="s">
        <v>1127</v>
      </c>
      <c r="D25" s="10">
        <v>5</v>
      </c>
      <c r="E25" s="10" t="s">
        <v>19</v>
      </c>
      <c r="F25" s="10" t="s">
        <v>57</v>
      </c>
      <c r="G25" s="10" t="s">
        <v>634</v>
      </c>
      <c r="H25" s="10" t="s">
        <v>1617</v>
      </c>
      <c r="I25" s="12" t="s">
        <v>487</v>
      </c>
      <c r="J25" s="10" t="s">
        <v>1151</v>
      </c>
      <c r="K25" s="10" t="s">
        <v>10</v>
      </c>
      <c r="L25" s="22" t="s">
        <v>1985</v>
      </c>
      <c r="M25" s="10" t="s">
        <v>137</v>
      </c>
      <c r="N25" s="22" t="s">
        <v>2000</v>
      </c>
    </row>
    <row r="26" spans="1:14" ht="56" x14ac:dyDescent="0.35">
      <c r="A26" s="9" t="s">
        <v>1005</v>
      </c>
      <c r="B26" s="10" t="s">
        <v>135</v>
      </c>
      <c r="C26" s="10" t="s">
        <v>1128</v>
      </c>
      <c r="D26" s="10">
        <v>5</v>
      </c>
      <c r="E26" s="10" t="s">
        <v>91</v>
      </c>
      <c r="F26" s="10" t="s">
        <v>57</v>
      </c>
      <c r="G26" s="10" t="s">
        <v>634</v>
      </c>
      <c r="H26" s="10" t="s">
        <v>1148</v>
      </c>
      <c r="I26" s="10" t="s">
        <v>968</v>
      </c>
      <c r="J26" s="10" t="s">
        <v>676</v>
      </c>
      <c r="K26" s="10" t="s">
        <v>13</v>
      </c>
      <c r="L26" s="17" t="s">
        <v>1983</v>
      </c>
      <c r="M26" s="10" t="s">
        <v>137</v>
      </c>
      <c r="N26" s="17"/>
    </row>
    <row r="27" spans="1:14" ht="56" x14ac:dyDescent="0.35">
      <c r="A27" s="9" t="s">
        <v>1006</v>
      </c>
      <c r="B27" s="10" t="s">
        <v>135</v>
      </c>
      <c r="C27" s="10" t="s">
        <v>1129</v>
      </c>
      <c r="D27" s="10">
        <v>4</v>
      </c>
      <c r="E27" s="10" t="s">
        <v>8</v>
      </c>
      <c r="F27" s="10" t="s">
        <v>57</v>
      </c>
      <c r="G27" s="10" t="s">
        <v>1130</v>
      </c>
      <c r="H27" s="10" t="s">
        <v>1149</v>
      </c>
      <c r="I27" s="10" t="s">
        <v>1131</v>
      </c>
      <c r="J27" s="10" t="s">
        <v>1150</v>
      </c>
      <c r="K27" s="10" t="s">
        <v>13</v>
      </c>
      <c r="L27" s="17" t="s">
        <v>1983</v>
      </c>
      <c r="M27" s="10" t="s">
        <v>137</v>
      </c>
      <c r="N27" s="19"/>
    </row>
    <row r="28" spans="1:14" ht="70" x14ac:dyDescent="0.35">
      <c r="A28" s="9" t="s">
        <v>1007</v>
      </c>
      <c r="B28" s="10" t="s">
        <v>135</v>
      </c>
      <c r="C28" s="10" t="s">
        <v>1157</v>
      </c>
      <c r="D28" s="10">
        <v>4</v>
      </c>
      <c r="E28" s="10" t="s">
        <v>8</v>
      </c>
      <c r="F28" s="10" t="s">
        <v>174</v>
      </c>
      <c r="G28" s="10" t="s">
        <v>1158</v>
      </c>
      <c r="H28" s="10" t="s">
        <v>1210</v>
      </c>
      <c r="I28" s="10" t="s">
        <v>283</v>
      </c>
      <c r="J28" s="10" t="s">
        <v>822</v>
      </c>
      <c r="K28" s="10" t="s">
        <v>10</v>
      </c>
      <c r="L28" s="17" t="s">
        <v>1983</v>
      </c>
      <c r="M28" s="10" t="s">
        <v>137</v>
      </c>
      <c r="N28" s="19"/>
    </row>
    <row r="29" spans="1:14" ht="56" x14ac:dyDescent="0.35">
      <c r="A29" s="9" t="s">
        <v>1008</v>
      </c>
      <c r="B29" s="10" t="s">
        <v>135</v>
      </c>
      <c r="C29" s="10" t="s">
        <v>1159</v>
      </c>
      <c r="D29" s="10">
        <v>4</v>
      </c>
      <c r="E29" s="10" t="s">
        <v>8</v>
      </c>
      <c r="F29" s="10" t="s">
        <v>174</v>
      </c>
      <c r="G29" s="10" t="s">
        <v>1160</v>
      </c>
      <c r="H29" s="10" t="s">
        <v>1211</v>
      </c>
      <c r="I29" s="10" t="s">
        <v>1161</v>
      </c>
      <c r="J29" s="10" t="s">
        <v>661</v>
      </c>
      <c r="K29" s="10" t="s">
        <v>10</v>
      </c>
      <c r="L29" s="17" t="s">
        <v>1983</v>
      </c>
      <c r="M29" s="10" t="s">
        <v>137</v>
      </c>
      <c r="N29" s="19"/>
    </row>
    <row r="30" spans="1:14" ht="56" x14ac:dyDescent="0.35">
      <c r="A30" s="9" t="s">
        <v>1009</v>
      </c>
      <c r="B30" s="10" t="s">
        <v>135</v>
      </c>
      <c r="C30" s="10" t="s">
        <v>1162</v>
      </c>
      <c r="D30" s="10">
        <v>4</v>
      </c>
      <c r="E30" s="10" t="s">
        <v>8</v>
      </c>
      <c r="F30" s="10" t="s">
        <v>174</v>
      </c>
      <c r="G30" s="10" t="s">
        <v>1163</v>
      </c>
      <c r="H30" s="10" t="s">
        <v>1212</v>
      </c>
      <c r="I30" s="10" t="s">
        <v>1164</v>
      </c>
      <c r="J30" s="10" t="s">
        <v>1213</v>
      </c>
      <c r="K30" s="10" t="s">
        <v>10</v>
      </c>
      <c r="L30" s="17" t="s">
        <v>1983</v>
      </c>
      <c r="M30" s="10" t="s">
        <v>137</v>
      </c>
      <c r="N30" s="19"/>
    </row>
    <row r="31" spans="1:14" ht="42" x14ac:dyDescent="0.35">
      <c r="A31" s="9" t="s">
        <v>1010</v>
      </c>
      <c r="B31" s="10" t="s">
        <v>135</v>
      </c>
      <c r="C31" s="10" t="s">
        <v>1165</v>
      </c>
      <c r="D31" s="10">
        <v>3</v>
      </c>
      <c r="E31" s="10" t="s">
        <v>8</v>
      </c>
      <c r="F31" s="10" t="s">
        <v>174</v>
      </c>
      <c r="G31" s="10" t="s">
        <v>1166</v>
      </c>
      <c r="H31" s="10" t="s">
        <v>1214</v>
      </c>
      <c r="I31" s="10" t="s">
        <v>1167</v>
      </c>
      <c r="J31" s="10" t="s">
        <v>661</v>
      </c>
      <c r="K31" s="10" t="s">
        <v>13</v>
      </c>
      <c r="L31" s="17" t="s">
        <v>1983</v>
      </c>
      <c r="M31" s="10" t="s">
        <v>137</v>
      </c>
      <c r="N31" s="19"/>
    </row>
    <row r="32" spans="1:14" ht="42" x14ac:dyDescent="0.35">
      <c r="A32" s="9" t="s">
        <v>1011</v>
      </c>
      <c r="B32" s="10" t="s">
        <v>135</v>
      </c>
      <c r="C32" s="10" t="s">
        <v>682</v>
      </c>
      <c r="D32" s="10">
        <v>3</v>
      </c>
      <c r="E32" s="10" t="s">
        <v>8</v>
      </c>
      <c r="F32" s="10" t="s">
        <v>174</v>
      </c>
      <c r="G32" s="10" t="s">
        <v>1168</v>
      </c>
      <c r="H32" s="10" t="s">
        <v>1215</v>
      </c>
      <c r="I32" s="10" t="s">
        <v>639</v>
      </c>
      <c r="J32" s="10" t="s">
        <v>661</v>
      </c>
      <c r="K32" s="10" t="s">
        <v>13</v>
      </c>
      <c r="L32" s="17" t="s">
        <v>1983</v>
      </c>
      <c r="M32" s="10" t="s">
        <v>137</v>
      </c>
      <c r="N32" s="19"/>
    </row>
    <row r="33" spans="1:14" ht="42" x14ac:dyDescent="0.35">
      <c r="A33" s="9" t="s">
        <v>1012</v>
      </c>
      <c r="B33" s="10" t="s">
        <v>135</v>
      </c>
      <c r="C33" s="10" t="s">
        <v>1169</v>
      </c>
      <c r="D33" s="10">
        <v>3</v>
      </c>
      <c r="E33" s="10" t="s">
        <v>483</v>
      </c>
      <c r="F33" s="10" t="s">
        <v>174</v>
      </c>
      <c r="G33" s="10" t="s">
        <v>1170</v>
      </c>
      <c r="H33" s="10" t="s">
        <v>1216</v>
      </c>
      <c r="I33" s="10" t="s">
        <v>178</v>
      </c>
      <c r="J33" s="10" t="s">
        <v>1217</v>
      </c>
      <c r="K33" s="10" t="s">
        <v>10</v>
      </c>
      <c r="L33" s="17" t="s">
        <v>1983</v>
      </c>
      <c r="M33" s="10" t="s">
        <v>137</v>
      </c>
      <c r="N33" s="19"/>
    </row>
    <row r="34" spans="1:14" ht="42" x14ac:dyDescent="0.35">
      <c r="A34" s="9" t="s">
        <v>1013</v>
      </c>
      <c r="B34" s="10" t="s">
        <v>135</v>
      </c>
      <c r="C34" s="10" t="s">
        <v>1171</v>
      </c>
      <c r="D34" s="10">
        <v>3</v>
      </c>
      <c r="E34" s="10" t="s">
        <v>483</v>
      </c>
      <c r="F34" s="10" t="s">
        <v>174</v>
      </c>
      <c r="G34" s="10" t="s">
        <v>1172</v>
      </c>
      <c r="H34" s="10" t="s">
        <v>1218</v>
      </c>
      <c r="I34" s="10" t="s">
        <v>1173</v>
      </c>
      <c r="J34" s="10" t="s">
        <v>1219</v>
      </c>
      <c r="K34" s="10" t="s">
        <v>10</v>
      </c>
      <c r="L34" s="17" t="s">
        <v>1983</v>
      </c>
      <c r="M34" s="10" t="s">
        <v>137</v>
      </c>
      <c r="N34" s="19"/>
    </row>
    <row r="35" spans="1:14" ht="42" x14ac:dyDescent="0.35">
      <c r="A35" s="9" t="s">
        <v>1014</v>
      </c>
      <c r="B35" s="10" t="s">
        <v>135</v>
      </c>
      <c r="C35" s="10" t="s">
        <v>1174</v>
      </c>
      <c r="D35" s="10">
        <v>3</v>
      </c>
      <c r="E35" s="10" t="s">
        <v>483</v>
      </c>
      <c r="F35" s="10" t="s">
        <v>174</v>
      </c>
      <c r="G35" s="10" t="s">
        <v>1175</v>
      </c>
      <c r="H35" s="10" t="s">
        <v>1220</v>
      </c>
      <c r="I35" s="10" t="s">
        <v>1176</v>
      </c>
      <c r="J35" s="10" t="s">
        <v>1221</v>
      </c>
      <c r="K35" s="10" t="s">
        <v>10</v>
      </c>
      <c r="L35" s="17" t="s">
        <v>1983</v>
      </c>
      <c r="M35" s="10" t="s">
        <v>137</v>
      </c>
      <c r="N35" s="19"/>
    </row>
    <row r="36" spans="1:14" ht="42" x14ac:dyDescent="0.35">
      <c r="A36" s="9" t="s">
        <v>1015</v>
      </c>
      <c r="B36" s="10" t="s">
        <v>135</v>
      </c>
      <c r="C36" s="10" t="s">
        <v>701</v>
      </c>
      <c r="D36" s="10">
        <v>5</v>
      </c>
      <c r="E36" s="10" t="s">
        <v>8</v>
      </c>
      <c r="F36" s="10" t="s">
        <v>174</v>
      </c>
      <c r="G36" s="10" t="s">
        <v>1177</v>
      </c>
      <c r="H36" s="10" t="s">
        <v>1222</v>
      </c>
      <c r="I36" s="10" t="s">
        <v>1178</v>
      </c>
      <c r="J36" s="10" t="s">
        <v>661</v>
      </c>
      <c r="K36" s="10" t="s">
        <v>13</v>
      </c>
      <c r="L36" s="17" t="s">
        <v>1983</v>
      </c>
      <c r="M36" s="10" t="s">
        <v>137</v>
      </c>
      <c r="N36" s="19"/>
    </row>
    <row r="37" spans="1:14" ht="42" x14ac:dyDescent="0.35">
      <c r="A37" s="9" t="s">
        <v>1016</v>
      </c>
      <c r="B37" s="10" t="s">
        <v>135</v>
      </c>
      <c r="C37" s="10" t="s">
        <v>1179</v>
      </c>
      <c r="D37" s="10">
        <v>2</v>
      </c>
      <c r="E37" s="10" t="s">
        <v>8</v>
      </c>
      <c r="F37" s="10" t="s">
        <v>174</v>
      </c>
      <c r="G37" s="10" t="s">
        <v>1180</v>
      </c>
      <c r="H37" s="10" t="s">
        <v>1223</v>
      </c>
      <c r="I37" s="10" t="s">
        <v>54</v>
      </c>
      <c r="J37" s="10" t="s">
        <v>762</v>
      </c>
      <c r="K37" s="10" t="s">
        <v>14</v>
      </c>
      <c r="L37" s="17" t="s">
        <v>1983</v>
      </c>
      <c r="M37" s="10" t="s">
        <v>137</v>
      </c>
      <c r="N37" s="19"/>
    </row>
    <row r="38" spans="1:14" ht="56" x14ac:dyDescent="0.35">
      <c r="A38" s="9" t="s">
        <v>1017</v>
      </c>
      <c r="B38" s="10" t="s">
        <v>135</v>
      </c>
      <c r="C38" s="10" t="s">
        <v>1181</v>
      </c>
      <c r="D38" s="10">
        <v>4</v>
      </c>
      <c r="E38" s="10" t="s">
        <v>8</v>
      </c>
      <c r="F38" s="10" t="s">
        <v>204</v>
      </c>
      <c r="G38" s="10" t="s">
        <v>1182</v>
      </c>
      <c r="H38" s="10" t="s">
        <v>1224</v>
      </c>
      <c r="I38" s="10" t="s">
        <v>1183</v>
      </c>
      <c r="J38" s="10" t="s">
        <v>1225</v>
      </c>
      <c r="K38" s="10" t="s">
        <v>10</v>
      </c>
      <c r="L38" s="17" t="s">
        <v>1983</v>
      </c>
      <c r="M38" s="10" t="s">
        <v>137</v>
      </c>
      <c r="N38" s="19"/>
    </row>
    <row r="39" spans="1:14" ht="56" x14ac:dyDescent="0.35">
      <c r="A39" s="9" t="s">
        <v>1018</v>
      </c>
      <c r="B39" s="10" t="s">
        <v>135</v>
      </c>
      <c r="C39" s="10" t="s">
        <v>1184</v>
      </c>
      <c r="D39" s="10">
        <v>3</v>
      </c>
      <c r="E39" s="10" t="s">
        <v>8</v>
      </c>
      <c r="F39" s="10" t="s">
        <v>204</v>
      </c>
      <c r="G39" s="10" t="s">
        <v>1185</v>
      </c>
      <c r="H39" s="10" t="s">
        <v>1226</v>
      </c>
      <c r="I39" s="10" t="s">
        <v>1186</v>
      </c>
      <c r="J39" s="10" t="s">
        <v>1227</v>
      </c>
      <c r="K39" s="10" t="s">
        <v>14</v>
      </c>
      <c r="L39" s="17" t="s">
        <v>1983</v>
      </c>
      <c r="M39" s="10" t="s">
        <v>137</v>
      </c>
      <c r="N39" s="19"/>
    </row>
    <row r="40" spans="1:14" ht="42" x14ac:dyDescent="0.35">
      <c r="A40" s="9" t="s">
        <v>1019</v>
      </c>
      <c r="B40" s="10" t="s">
        <v>135</v>
      </c>
      <c r="C40" s="10" t="s">
        <v>1187</v>
      </c>
      <c r="D40" s="10">
        <v>4</v>
      </c>
      <c r="E40" s="10" t="s">
        <v>483</v>
      </c>
      <c r="F40" s="10" t="s">
        <v>204</v>
      </c>
      <c r="G40" s="10" t="s">
        <v>1188</v>
      </c>
      <c r="H40" s="10" t="s">
        <v>1228</v>
      </c>
      <c r="I40" s="10" t="s">
        <v>1189</v>
      </c>
      <c r="J40" s="10" t="s">
        <v>1229</v>
      </c>
      <c r="K40" s="10" t="s">
        <v>13</v>
      </c>
      <c r="L40" s="17" t="s">
        <v>1983</v>
      </c>
      <c r="M40" s="10" t="s">
        <v>137</v>
      </c>
      <c r="N40" s="19"/>
    </row>
    <row r="41" spans="1:14" ht="42" x14ac:dyDescent="0.35">
      <c r="A41" s="9" t="s">
        <v>1020</v>
      </c>
      <c r="B41" s="10" t="s">
        <v>135</v>
      </c>
      <c r="C41" s="10" t="s">
        <v>1190</v>
      </c>
      <c r="D41" s="10">
        <v>5</v>
      </c>
      <c r="E41" s="10" t="s">
        <v>8</v>
      </c>
      <c r="F41" s="10" t="s">
        <v>204</v>
      </c>
      <c r="G41" s="10" t="s">
        <v>1191</v>
      </c>
      <c r="H41" s="10" t="s">
        <v>747</v>
      </c>
      <c r="I41" s="10" t="s">
        <v>1192</v>
      </c>
      <c r="J41" s="10" t="s">
        <v>1230</v>
      </c>
      <c r="K41" s="10" t="s">
        <v>13</v>
      </c>
      <c r="L41" s="17" t="s">
        <v>1983</v>
      </c>
      <c r="M41" s="10" t="s">
        <v>137</v>
      </c>
      <c r="N41" s="19"/>
    </row>
    <row r="42" spans="1:14" ht="56" x14ac:dyDescent="0.35">
      <c r="A42" s="9" t="s">
        <v>1021</v>
      </c>
      <c r="B42" s="10" t="s">
        <v>135</v>
      </c>
      <c r="C42" s="10" t="s">
        <v>1193</v>
      </c>
      <c r="D42" s="10">
        <v>6</v>
      </c>
      <c r="E42" s="10" t="s">
        <v>20</v>
      </c>
      <c r="F42" s="10" t="s">
        <v>204</v>
      </c>
      <c r="G42" s="10" t="s">
        <v>1194</v>
      </c>
      <c r="H42" s="10" t="s">
        <v>1231</v>
      </c>
      <c r="I42" s="10" t="s">
        <v>1195</v>
      </c>
      <c r="J42" s="10" t="s">
        <v>1232</v>
      </c>
      <c r="K42" s="10" t="s">
        <v>10</v>
      </c>
      <c r="L42" s="17" t="s">
        <v>1983</v>
      </c>
      <c r="M42" s="10" t="s">
        <v>137</v>
      </c>
      <c r="N42" s="19"/>
    </row>
    <row r="43" spans="1:14" ht="56" x14ac:dyDescent="0.35">
      <c r="A43" s="9" t="s">
        <v>1022</v>
      </c>
      <c r="B43" s="10" t="s">
        <v>135</v>
      </c>
      <c r="C43" s="10" t="s">
        <v>1196</v>
      </c>
      <c r="D43" s="10">
        <v>6</v>
      </c>
      <c r="E43" s="10" t="s">
        <v>20</v>
      </c>
      <c r="F43" s="10" t="s">
        <v>204</v>
      </c>
      <c r="G43" s="10" t="s">
        <v>1197</v>
      </c>
      <c r="H43" s="10" t="s">
        <v>1233</v>
      </c>
      <c r="I43" s="10" t="s">
        <v>1198</v>
      </c>
      <c r="J43" s="10" t="s">
        <v>1234</v>
      </c>
      <c r="K43" s="10" t="s">
        <v>10</v>
      </c>
      <c r="L43" s="17" t="s">
        <v>1983</v>
      </c>
      <c r="M43" s="10" t="s">
        <v>137</v>
      </c>
      <c r="N43" s="17"/>
    </row>
    <row r="44" spans="1:14" ht="56" x14ac:dyDescent="0.35">
      <c r="A44" s="9" t="s">
        <v>1023</v>
      </c>
      <c r="B44" s="10" t="s">
        <v>135</v>
      </c>
      <c r="C44" s="10" t="s">
        <v>1199</v>
      </c>
      <c r="D44" s="10">
        <v>6</v>
      </c>
      <c r="E44" s="10" t="s">
        <v>19</v>
      </c>
      <c r="F44" s="10" t="s">
        <v>204</v>
      </c>
      <c r="G44" s="10" t="s">
        <v>1200</v>
      </c>
      <c r="H44" s="10" t="s">
        <v>1235</v>
      </c>
      <c r="I44" s="10" t="s">
        <v>1201</v>
      </c>
      <c r="J44" s="10" t="s">
        <v>1236</v>
      </c>
      <c r="K44" s="10" t="s">
        <v>10</v>
      </c>
      <c r="L44" s="17" t="s">
        <v>1983</v>
      </c>
      <c r="M44" s="10" t="s">
        <v>137</v>
      </c>
      <c r="N44" s="19"/>
    </row>
    <row r="45" spans="1:14" ht="56" x14ac:dyDescent="0.35">
      <c r="A45" s="9" t="s">
        <v>1024</v>
      </c>
      <c r="B45" s="10" t="s">
        <v>135</v>
      </c>
      <c r="C45" s="10" t="s">
        <v>1202</v>
      </c>
      <c r="D45" s="10">
        <v>5</v>
      </c>
      <c r="E45" s="10" t="s">
        <v>8</v>
      </c>
      <c r="F45" s="10" t="s">
        <v>204</v>
      </c>
      <c r="G45" s="10" t="s">
        <v>1203</v>
      </c>
      <c r="H45" s="10" t="s">
        <v>1237</v>
      </c>
      <c r="I45" s="10" t="s">
        <v>1204</v>
      </c>
      <c r="J45" s="10" t="s">
        <v>1238</v>
      </c>
      <c r="K45" s="10" t="s">
        <v>13</v>
      </c>
      <c r="L45" s="17" t="s">
        <v>1983</v>
      </c>
      <c r="M45" s="10" t="s">
        <v>137</v>
      </c>
      <c r="N45" s="19"/>
    </row>
    <row r="46" spans="1:14" ht="42" x14ac:dyDescent="0.35">
      <c r="A46" s="9" t="s">
        <v>1025</v>
      </c>
      <c r="B46" s="10" t="s">
        <v>135</v>
      </c>
      <c r="C46" s="10" t="s">
        <v>1205</v>
      </c>
      <c r="D46" s="10">
        <v>6</v>
      </c>
      <c r="E46" s="10" t="s">
        <v>19</v>
      </c>
      <c r="F46" s="10" t="s">
        <v>204</v>
      </c>
      <c r="G46" s="10" t="s">
        <v>774</v>
      </c>
      <c r="H46" s="10" t="s">
        <v>1239</v>
      </c>
      <c r="I46" s="10" t="s">
        <v>1206</v>
      </c>
      <c r="J46" s="10" t="s">
        <v>1240</v>
      </c>
      <c r="K46" s="10" t="s">
        <v>10</v>
      </c>
      <c r="L46" s="22" t="s">
        <v>1985</v>
      </c>
      <c r="M46" s="10" t="s">
        <v>137</v>
      </c>
      <c r="N46" s="17"/>
    </row>
    <row r="47" spans="1:14" ht="70" x14ac:dyDescent="0.35">
      <c r="A47" s="9" t="s">
        <v>1026</v>
      </c>
      <c r="B47" s="10" t="s">
        <v>135</v>
      </c>
      <c r="C47" s="10" t="s">
        <v>1207</v>
      </c>
      <c r="D47" s="10">
        <v>7</v>
      </c>
      <c r="E47" s="10" t="s">
        <v>313</v>
      </c>
      <c r="F47" s="10" t="s">
        <v>204</v>
      </c>
      <c r="G47" s="10" t="s">
        <v>1208</v>
      </c>
      <c r="H47" s="10" t="s">
        <v>1241</v>
      </c>
      <c r="I47" s="10" t="s">
        <v>1209</v>
      </c>
      <c r="J47" s="10" t="s">
        <v>1242</v>
      </c>
      <c r="K47" s="10" t="s">
        <v>13</v>
      </c>
      <c r="L47" s="17" t="s">
        <v>1983</v>
      </c>
      <c r="M47" s="10" t="s">
        <v>137</v>
      </c>
      <c r="N47" s="17"/>
    </row>
    <row r="48" spans="1:14" ht="70" x14ac:dyDescent="0.35">
      <c r="A48" s="9" t="s">
        <v>1027</v>
      </c>
      <c r="B48" s="10" t="s">
        <v>135</v>
      </c>
      <c r="C48" s="10" t="s">
        <v>1243</v>
      </c>
      <c r="D48" s="10">
        <v>5</v>
      </c>
      <c r="E48" s="10" t="s">
        <v>8</v>
      </c>
      <c r="F48" s="14" t="s">
        <v>1087</v>
      </c>
      <c r="G48" s="10" t="s">
        <v>771</v>
      </c>
      <c r="H48" s="10" t="s">
        <v>1286</v>
      </c>
      <c r="I48" s="10" t="s">
        <v>1111</v>
      </c>
      <c r="J48" s="10" t="s">
        <v>1287</v>
      </c>
      <c r="K48" s="10" t="s">
        <v>10</v>
      </c>
      <c r="L48" s="17" t="s">
        <v>1983</v>
      </c>
      <c r="M48" s="11" t="s">
        <v>137</v>
      </c>
      <c r="N48" s="19"/>
    </row>
    <row r="49" spans="1:14" ht="56" x14ac:dyDescent="0.35">
      <c r="A49" s="9" t="s">
        <v>1028</v>
      </c>
      <c r="B49" s="10" t="s">
        <v>135</v>
      </c>
      <c r="C49" s="10" t="s">
        <v>1244</v>
      </c>
      <c r="D49" s="10">
        <v>4</v>
      </c>
      <c r="E49" s="10" t="s">
        <v>19</v>
      </c>
      <c r="F49" s="14" t="s">
        <v>1087</v>
      </c>
      <c r="G49" s="10" t="s">
        <v>774</v>
      </c>
      <c r="H49" s="10" t="s">
        <v>1288</v>
      </c>
      <c r="I49" s="10" t="s">
        <v>54</v>
      </c>
      <c r="J49" s="10" t="s">
        <v>1289</v>
      </c>
      <c r="K49" s="10" t="s">
        <v>10</v>
      </c>
      <c r="L49" s="22" t="s">
        <v>1985</v>
      </c>
      <c r="M49" s="11" t="s">
        <v>137</v>
      </c>
      <c r="N49" s="17"/>
    </row>
    <row r="50" spans="1:14" ht="42" x14ac:dyDescent="0.35">
      <c r="A50" s="9" t="s">
        <v>1029</v>
      </c>
      <c r="B50" s="10" t="s">
        <v>135</v>
      </c>
      <c r="C50" s="10" t="s">
        <v>1245</v>
      </c>
      <c r="D50" s="10">
        <v>4</v>
      </c>
      <c r="E50" s="10" t="s">
        <v>19</v>
      </c>
      <c r="F50" s="14" t="s">
        <v>1087</v>
      </c>
      <c r="G50" s="10" t="s">
        <v>776</v>
      </c>
      <c r="H50" s="10" t="s">
        <v>1290</v>
      </c>
      <c r="I50" s="10" t="s">
        <v>54</v>
      </c>
      <c r="J50" s="10" t="s">
        <v>1291</v>
      </c>
      <c r="K50" s="10" t="s">
        <v>10</v>
      </c>
      <c r="L50" s="22" t="s">
        <v>1985</v>
      </c>
      <c r="M50" s="11" t="s">
        <v>137</v>
      </c>
      <c r="N50" s="17"/>
    </row>
    <row r="51" spans="1:14" ht="70" x14ac:dyDescent="0.35">
      <c r="A51" s="9" t="s">
        <v>1030</v>
      </c>
      <c r="B51" s="10" t="s">
        <v>135</v>
      </c>
      <c r="C51" s="10" t="s">
        <v>1246</v>
      </c>
      <c r="D51" s="10">
        <v>5</v>
      </c>
      <c r="E51" s="10" t="s">
        <v>8</v>
      </c>
      <c r="F51" s="14" t="s">
        <v>1087</v>
      </c>
      <c r="G51" s="10" t="s">
        <v>1247</v>
      </c>
      <c r="H51" s="10" t="s">
        <v>1292</v>
      </c>
      <c r="I51" s="10" t="s">
        <v>283</v>
      </c>
      <c r="J51" s="10" t="s">
        <v>1293</v>
      </c>
      <c r="K51" s="10" t="s">
        <v>10</v>
      </c>
      <c r="L51" s="17" t="s">
        <v>1983</v>
      </c>
      <c r="M51" s="11" t="s">
        <v>137</v>
      </c>
      <c r="N51" s="19"/>
    </row>
    <row r="52" spans="1:14" ht="42" x14ac:dyDescent="0.35">
      <c r="A52" s="9" t="s">
        <v>1031</v>
      </c>
      <c r="B52" s="10" t="s">
        <v>135</v>
      </c>
      <c r="C52" s="10" t="s">
        <v>1248</v>
      </c>
      <c r="D52" s="10">
        <v>4</v>
      </c>
      <c r="E52" s="10" t="s">
        <v>19</v>
      </c>
      <c r="F52" s="14" t="s">
        <v>1087</v>
      </c>
      <c r="G52" s="10" t="s">
        <v>1249</v>
      </c>
      <c r="H52" s="10" t="s">
        <v>1294</v>
      </c>
      <c r="I52" s="10" t="s">
        <v>54</v>
      </c>
      <c r="J52" s="10" t="s">
        <v>1295</v>
      </c>
      <c r="K52" s="10" t="s">
        <v>10</v>
      </c>
      <c r="L52" s="22" t="s">
        <v>1985</v>
      </c>
      <c r="M52" s="11" t="s">
        <v>137</v>
      </c>
      <c r="N52" s="17"/>
    </row>
    <row r="53" spans="1:14" ht="56" x14ac:dyDescent="0.35">
      <c r="A53" s="9" t="s">
        <v>1032</v>
      </c>
      <c r="B53" s="10" t="s">
        <v>135</v>
      </c>
      <c r="C53" s="10" t="s">
        <v>1250</v>
      </c>
      <c r="D53" s="10">
        <v>4</v>
      </c>
      <c r="E53" s="10" t="s">
        <v>19</v>
      </c>
      <c r="F53" s="14" t="s">
        <v>1087</v>
      </c>
      <c r="G53" s="10" t="s">
        <v>1251</v>
      </c>
      <c r="H53" s="10" t="s">
        <v>1296</v>
      </c>
      <c r="I53" s="10" t="s">
        <v>54</v>
      </c>
      <c r="J53" s="10" t="s">
        <v>1297</v>
      </c>
      <c r="K53" s="10" t="s">
        <v>10</v>
      </c>
      <c r="L53" s="22" t="s">
        <v>1985</v>
      </c>
      <c r="M53" s="11" t="s">
        <v>137</v>
      </c>
      <c r="N53" s="17"/>
    </row>
    <row r="54" spans="1:14" ht="56" x14ac:dyDescent="0.35">
      <c r="A54" s="9" t="s">
        <v>1033</v>
      </c>
      <c r="B54" s="10" t="s">
        <v>135</v>
      </c>
      <c r="C54" s="10" t="s">
        <v>1252</v>
      </c>
      <c r="D54" s="10">
        <v>5</v>
      </c>
      <c r="E54" s="10" t="s">
        <v>8</v>
      </c>
      <c r="F54" s="14" t="s">
        <v>1087</v>
      </c>
      <c r="G54" s="10" t="s">
        <v>1253</v>
      </c>
      <c r="H54" s="10" t="s">
        <v>1298</v>
      </c>
      <c r="I54" s="10" t="s">
        <v>1254</v>
      </c>
      <c r="J54" s="10" t="s">
        <v>1299</v>
      </c>
      <c r="K54" s="10" t="s">
        <v>10</v>
      </c>
      <c r="L54" s="17" t="s">
        <v>1983</v>
      </c>
      <c r="M54" s="11" t="s">
        <v>137</v>
      </c>
      <c r="N54" s="19"/>
    </row>
    <row r="55" spans="1:14" ht="56" x14ac:dyDescent="0.35">
      <c r="A55" s="9" t="s">
        <v>1034</v>
      </c>
      <c r="B55" s="10" t="s">
        <v>135</v>
      </c>
      <c r="C55" s="10" t="s">
        <v>1255</v>
      </c>
      <c r="D55" s="10">
        <v>4</v>
      </c>
      <c r="E55" s="10" t="s">
        <v>19</v>
      </c>
      <c r="F55" s="14" t="s">
        <v>1087</v>
      </c>
      <c r="G55" s="10" t="s">
        <v>1256</v>
      </c>
      <c r="H55" s="10" t="s">
        <v>1300</v>
      </c>
      <c r="I55" s="10" t="s">
        <v>1257</v>
      </c>
      <c r="J55" s="10" t="s">
        <v>1301</v>
      </c>
      <c r="K55" s="10" t="s">
        <v>10</v>
      </c>
      <c r="L55" s="22" t="s">
        <v>1985</v>
      </c>
      <c r="M55" s="11" t="s">
        <v>137</v>
      </c>
      <c r="N55" s="17"/>
    </row>
    <row r="56" spans="1:14" ht="42" x14ac:dyDescent="0.35">
      <c r="A56" s="9" t="s">
        <v>1035</v>
      </c>
      <c r="B56" s="10" t="s">
        <v>135</v>
      </c>
      <c r="C56" s="10" t="s">
        <v>1258</v>
      </c>
      <c r="D56" s="10">
        <v>4</v>
      </c>
      <c r="E56" s="10" t="s">
        <v>19</v>
      </c>
      <c r="F56" s="14" t="s">
        <v>1087</v>
      </c>
      <c r="G56" s="10" t="s">
        <v>1259</v>
      </c>
      <c r="H56" s="10" t="s">
        <v>1302</v>
      </c>
      <c r="I56" s="10" t="s">
        <v>1260</v>
      </c>
      <c r="J56" s="10" t="s">
        <v>1303</v>
      </c>
      <c r="K56" s="10" t="s">
        <v>10</v>
      </c>
      <c r="L56" s="22" t="s">
        <v>1985</v>
      </c>
      <c r="M56" s="11" t="s">
        <v>137</v>
      </c>
      <c r="N56" s="17"/>
    </row>
    <row r="57" spans="1:14" ht="42" x14ac:dyDescent="0.35">
      <c r="A57" s="9" t="s">
        <v>1036</v>
      </c>
      <c r="B57" s="10" t="s">
        <v>135</v>
      </c>
      <c r="C57" s="10" t="s">
        <v>1261</v>
      </c>
      <c r="D57" s="10">
        <v>3</v>
      </c>
      <c r="E57" s="10" t="s">
        <v>8</v>
      </c>
      <c r="F57" s="14" t="s">
        <v>1087</v>
      </c>
      <c r="G57" s="10" t="s">
        <v>1262</v>
      </c>
      <c r="H57" s="10" t="s">
        <v>1304</v>
      </c>
      <c r="I57" s="10" t="s">
        <v>1263</v>
      </c>
      <c r="J57" s="10" t="s">
        <v>1305</v>
      </c>
      <c r="K57" s="10" t="s">
        <v>13</v>
      </c>
      <c r="L57" s="17" t="s">
        <v>1983</v>
      </c>
      <c r="M57" s="11" t="s">
        <v>137</v>
      </c>
      <c r="N57" s="19"/>
    </row>
    <row r="58" spans="1:14" ht="42" x14ac:dyDescent="0.35">
      <c r="A58" s="9" t="s">
        <v>1037</v>
      </c>
      <c r="B58" s="10" t="s">
        <v>135</v>
      </c>
      <c r="C58" s="10" t="s">
        <v>1264</v>
      </c>
      <c r="D58" s="10">
        <v>3</v>
      </c>
      <c r="E58" s="10" t="s">
        <v>8</v>
      </c>
      <c r="F58" s="14" t="s">
        <v>1087</v>
      </c>
      <c r="G58" s="10" t="s">
        <v>1265</v>
      </c>
      <c r="H58" s="10" t="s">
        <v>1306</v>
      </c>
      <c r="I58" s="10" t="s">
        <v>1266</v>
      </c>
      <c r="J58" s="10" t="s">
        <v>1307</v>
      </c>
      <c r="K58" s="10" t="s">
        <v>13</v>
      </c>
      <c r="L58" s="22" t="s">
        <v>1985</v>
      </c>
      <c r="M58" s="11" t="s">
        <v>137</v>
      </c>
      <c r="N58" s="17"/>
    </row>
    <row r="59" spans="1:14" ht="42" x14ac:dyDescent="0.35">
      <c r="A59" s="9" t="s">
        <v>1038</v>
      </c>
      <c r="B59" s="10" t="s">
        <v>135</v>
      </c>
      <c r="C59" s="10" t="s">
        <v>1267</v>
      </c>
      <c r="D59" s="10">
        <v>3</v>
      </c>
      <c r="E59" s="10" t="s">
        <v>8</v>
      </c>
      <c r="F59" s="14" t="s">
        <v>1087</v>
      </c>
      <c r="G59" s="10" t="s">
        <v>1268</v>
      </c>
      <c r="H59" s="10" t="s">
        <v>1308</v>
      </c>
      <c r="I59" s="10" t="s">
        <v>1269</v>
      </c>
      <c r="J59" s="10" t="s">
        <v>833</v>
      </c>
      <c r="K59" s="10" t="s">
        <v>13</v>
      </c>
      <c r="L59" s="22" t="s">
        <v>1985</v>
      </c>
      <c r="M59" s="11" t="s">
        <v>137</v>
      </c>
      <c r="N59" s="17"/>
    </row>
    <row r="60" spans="1:14" ht="56" x14ac:dyDescent="0.35">
      <c r="A60" s="9" t="s">
        <v>1039</v>
      </c>
      <c r="B60" s="10" t="s">
        <v>135</v>
      </c>
      <c r="C60" s="10" t="s">
        <v>1270</v>
      </c>
      <c r="D60" s="10">
        <v>5</v>
      </c>
      <c r="E60" s="10" t="s">
        <v>19</v>
      </c>
      <c r="F60" s="14" t="s">
        <v>1087</v>
      </c>
      <c r="G60" s="10" t="s">
        <v>774</v>
      </c>
      <c r="H60" s="10" t="s">
        <v>1309</v>
      </c>
      <c r="I60" s="10" t="s">
        <v>54</v>
      </c>
      <c r="J60" s="10" t="s">
        <v>1310</v>
      </c>
      <c r="K60" s="10" t="s">
        <v>10</v>
      </c>
      <c r="L60" s="22" t="s">
        <v>1985</v>
      </c>
      <c r="M60" s="11" t="s">
        <v>137</v>
      </c>
      <c r="N60" s="17"/>
    </row>
    <row r="61" spans="1:14" ht="56" x14ac:dyDescent="0.35">
      <c r="A61" s="9" t="s">
        <v>1040</v>
      </c>
      <c r="B61" s="10" t="s">
        <v>135</v>
      </c>
      <c r="C61" s="10" t="s">
        <v>1271</v>
      </c>
      <c r="D61" s="10">
        <v>5</v>
      </c>
      <c r="E61" s="10" t="s">
        <v>19</v>
      </c>
      <c r="F61" s="14" t="s">
        <v>1087</v>
      </c>
      <c r="G61" s="10" t="s">
        <v>776</v>
      </c>
      <c r="H61" s="10" t="s">
        <v>1311</v>
      </c>
      <c r="I61" s="10" t="s">
        <v>1272</v>
      </c>
      <c r="J61" s="10" t="s">
        <v>1310</v>
      </c>
      <c r="K61" s="10" t="s">
        <v>10</v>
      </c>
      <c r="L61" s="22" t="s">
        <v>1985</v>
      </c>
      <c r="M61" s="11" t="s">
        <v>137</v>
      </c>
      <c r="N61" s="17"/>
    </row>
    <row r="62" spans="1:14" ht="42" x14ac:dyDescent="0.35">
      <c r="A62" s="9" t="s">
        <v>1041</v>
      </c>
      <c r="B62" s="10" t="s">
        <v>135</v>
      </c>
      <c r="C62" s="10" t="s">
        <v>1273</v>
      </c>
      <c r="D62" s="10">
        <v>4</v>
      </c>
      <c r="E62" s="10" t="s">
        <v>8</v>
      </c>
      <c r="F62" s="14" t="s">
        <v>1087</v>
      </c>
      <c r="G62" s="10" t="s">
        <v>1274</v>
      </c>
      <c r="H62" s="10" t="s">
        <v>1312</v>
      </c>
      <c r="I62" s="10" t="s">
        <v>1275</v>
      </c>
      <c r="J62" s="10" t="s">
        <v>842</v>
      </c>
      <c r="K62" s="10" t="s">
        <v>13</v>
      </c>
      <c r="L62" s="22" t="s">
        <v>1985</v>
      </c>
      <c r="M62" s="11" t="s">
        <v>137</v>
      </c>
      <c r="N62" s="17"/>
    </row>
    <row r="63" spans="1:14" ht="56" x14ac:dyDescent="0.35">
      <c r="A63" s="9" t="s">
        <v>1042</v>
      </c>
      <c r="B63" s="10" t="s">
        <v>135</v>
      </c>
      <c r="C63" s="10" t="s">
        <v>1276</v>
      </c>
      <c r="D63" s="10">
        <v>4</v>
      </c>
      <c r="E63" s="10" t="s">
        <v>8</v>
      </c>
      <c r="F63" s="14" t="s">
        <v>1087</v>
      </c>
      <c r="G63" s="10" t="s">
        <v>1277</v>
      </c>
      <c r="H63" s="10" t="s">
        <v>1313</v>
      </c>
      <c r="I63" s="10" t="s">
        <v>1278</v>
      </c>
      <c r="J63" s="10" t="s">
        <v>1314</v>
      </c>
      <c r="K63" s="10" t="s">
        <v>13</v>
      </c>
      <c r="L63" s="22" t="s">
        <v>1985</v>
      </c>
      <c r="M63" s="11" t="s">
        <v>137</v>
      </c>
      <c r="N63" s="17"/>
    </row>
    <row r="64" spans="1:14" ht="42" x14ac:dyDescent="0.35">
      <c r="A64" s="9" t="s">
        <v>1043</v>
      </c>
      <c r="B64" s="10" t="s">
        <v>135</v>
      </c>
      <c r="C64" s="10" t="s">
        <v>1279</v>
      </c>
      <c r="D64" s="10">
        <v>4</v>
      </c>
      <c r="E64" s="10" t="s">
        <v>8</v>
      </c>
      <c r="F64" s="14" t="s">
        <v>1087</v>
      </c>
      <c r="G64" s="10" t="s">
        <v>1280</v>
      </c>
      <c r="H64" s="10" t="s">
        <v>1315</v>
      </c>
      <c r="I64" s="10" t="s">
        <v>1281</v>
      </c>
      <c r="J64" s="10" t="s">
        <v>1316</v>
      </c>
      <c r="K64" s="10" t="s">
        <v>13</v>
      </c>
      <c r="L64" s="22" t="s">
        <v>1985</v>
      </c>
      <c r="M64" s="11" t="s">
        <v>137</v>
      </c>
      <c r="N64" s="17"/>
    </row>
    <row r="65" spans="1:14" ht="70" x14ac:dyDescent="0.35">
      <c r="A65" s="9" t="s">
        <v>1044</v>
      </c>
      <c r="B65" s="10" t="s">
        <v>135</v>
      </c>
      <c r="C65" s="10" t="s">
        <v>312</v>
      </c>
      <c r="D65" s="10">
        <v>6</v>
      </c>
      <c r="E65" s="10" t="s">
        <v>313</v>
      </c>
      <c r="F65" s="14" t="s">
        <v>1087</v>
      </c>
      <c r="G65" s="10" t="s">
        <v>314</v>
      </c>
      <c r="H65" s="10" t="s">
        <v>1317</v>
      </c>
      <c r="I65" s="10" t="s">
        <v>1282</v>
      </c>
      <c r="J65" s="10" t="s">
        <v>1318</v>
      </c>
      <c r="K65" s="10" t="s">
        <v>13</v>
      </c>
      <c r="L65" s="22" t="s">
        <v>1985</v>
      </c>
      <c r="M65" s="11" t="s">
        <v>137</v>
      </c>
      <c r="N65" s="17"/>
    </row>
    <row r="66" spans="1:14" ht="56" x14ac:dyDescent="0.35">
      <c r="A66" s="9" t="s">
        <v>1045</v>
      </c>
      <c r="B66" s="10" t="s">
        <v>135</v>
      </c>
      <c r="C66" s="10" t="s">
        <v>315</v>
      </c>
      <c r="D66" s="10">
        <v>6</v>
      </c>
      <c r="E66" s="10" t="s">
        <v>313</v>
      </c>
      <c r="F66" s="14" t="s">
        <v>1087</v>
      </c>
      <c r="G66" s="10" t="s">
        <v>1283</v>
      </c>
      <c r="H66" s="10" t="s">
        <v>1321</v>
      </c>
      <c r="I66" s="10" t="s">
        <v>1284</v>
      </c>
      <c r="J66" s="10" t="s">
        <v>850</v>
      </c>
      <c r="K66" s="10" t="s">
        <v>13</v>
      </c>
      <c r="L66" s="22" t="s">
        <v>1985</v>
      </c>
      <c r="M66" s="11" t="s">
        <v>137</v>
      </c>
      <c r="N66" s="17"/>
    </row>
    <row r="67" spans="1:14" ht="70" x14ac:dyDescent="0.35">
      <c r="A67" s="9" t="s">
        <v>1046</v>
      </c>
      <c r="B67" s="10" t="s">
        <v>135</v>
      </c>
      <c r="C67" s="10" t="s">
        <v>321</v>
      </c>
      <c r="D67" s="10">
        <v>5</v>
      </c>
      <c r="E67" s="10" t="s">
        <v>322</v>
      </c>
      <c r="F67" s="14" t="s">
        <v>1087</v>
      </c>
      <c r="G67" s="10" t="s">
        <v>1285</v>
      </c>
      <c r="H67" s="10" t="s">
        <v>1319</v>
      </c>
      <c r="I67" s="10" t="s">
        <v>54</v>
      </c>
      <c r="J67" s="10" t="s">
        <v>1320</v>
      </c>
      <c r="K67" s="10" t="s">
        <v>10</v>
      </c>
      <c r="L67" s="22" t="s">
        <v>1985</v>
      </c>
      <c r="M67" s="11" t="s">
        <v>137</v>
      </c>
      <c r="N67" s="17"/>
    </row>
    <row r="68" spans="1:14" ht="42" x14ac:dyDescent="0.35">
      <c r="A68" s="9" t="s">
        <v>1047</v>
      </c>
      <c r="B68" s="10" t="s">
        <v>135</v>
      </c>
      <c r="C68" s="10" t="s">
        <v>1322</v>
      </c>
      <c r="D68" s="10">
        <v>5</v>
      </c>
      <c r="E68" s="10" t="s">
        <v>8</v>
      </c>
      <c r="F68" s="10" t="s">
        <v>853</v>
      </c>
      <c r="G68" s="10" t="s">
        <v>1323</v>
      </c>
      <c r="H68" s="10" t="s">
        <v>1324</v>
      </c>
      <c r="I68" s="10" t="s">
        <v>1325</v>
      </c>
      <c r="J68" s="10" t="s">
        <v>1326</v>
      </c>
      <c r="K68" s="10" t="s">
        <v>10</v>
      </c>
      <c r="L68" s="17" t="s">
        <v>1983</v>
      </c>
      <c r="M68" s="11" t="s">
        <v>137</v>
      </c>
      <c r="N68" s="19"/>
    </row>
    <row r="69" spans="1:14" ht="42" x14ac:dyDescent="0.35">
      <c r="A69" s="9" t="s">
        <v>1048</v>
      </c>
      <c r="B69" s="10" t="s">
        <v>135</v>
      </c>
      <c r="C69" s="10" t="s">
        <v>1327</v>
      </c>
      <c r="D69" s="10">
        <v>4</v>
      </c>
      <c r="E69" s="10" t="s">
        <v>483</v>
      </c>
      <c r="F69" s="10" t="s">
        <v>853</v>
      </c>
      <c r="G69" s="10" t="s">
        <v>1328</v>
      </c>
      <c r="H69" s="10" t="s">
        <v>1329</v>
      </c>
      <c r="I69" s="10" t="s">
        <v>1330</v>
      </c>
      <c r="J69" s="10" t="s">
        <v>1331</v>
      </c>
      <c r="K69" s="10" t="s">
        <v>10</v>
      </c>
      <c r="L69" s="17" t="s">
        <v>1983</v>
      </c>
      <c r="M69" s="11" t="s">
        <v>137</v>
      </c>
      <c r="N69" s="19"/>
    </row>
    <row r="70" spans="1:14" ht="42" x14ac:dyDescent="0.35">
      <c r="A70" s="9" t="s">
        <v>1049</v>
      </c>
      <c r="B70" s="10" t="s">
        <v>135</v>
      </c>
      <c r="C70" s="10" t="s">
        <v>1332</v>
      </c>
      <c r="D70" s="10">
        <v>5</v>
      </c>
      <c r="E70" s="10" t="s">
        <v>8</v>
      </c>
      <c r="F70" s="10" t="s">
        <v>853</v>
      </c>
      <c r="G70" s="10" t="s">
        <v>1333</v>
      </c>
      <c r="H70" s="10" t="s">
        <v>1334</v>
      </c>
      <c r="I70" s="10" t="s">
        <v>1335</v>
      </c>
      <c r="J70" s="10" t="s">
        <v>1336</v>
      </c>
      <c r="K70" s="10" t="s">
        <v>13</v>
      </c>
      <c r="L70" s="17" t="s">
        <v>1983</v>
      </c>
      <c r="M70" s="11" t="s">
        <v>137</v>
      </c>
      <c r="N70" s="19"/>
    </row>
    <row r="71" spans="1:14" ht="42" x14ac:dyDescent="0.35">
      <c r="A71" s="9" t="s">
        <v>1050</v>
      </c>
      <c r="B71" s="10" t="s">
        <v>135</v>
      </c>
      <c r="C71" s="10" t="s">
        <v>1337</v>
      </c>
      <c r="D71" s="10">
        <v>5</v>
      </c>
      <c r="E71" s="10" t="s">
        <v>20</v>
      </c>
      <c r="F71" s="10" t="s">
        <v>853</v>
      </c>
      <c r="G71" s="10" t="s">
        <v>1338</v>
      </c>
      <c r="H71" s="10" t="s">
        <v>1339</v>
      </c>
      <c r="I71" s="10" t="s">
        <v>1340</v>
      </c>
      <c r="J71" s="10" t="s">
        <v>1341</v>
      </c>
      <c r="K71" s="10" t="s">
        <v>13</v>
      </c>
      <c r="L71" s="17" t="s">
        <v>1983</v>
      </c>
      <c r="M71" s="11" t="s">
        <v>137</v>
      </c>
      <c r="N71" s="19"/>
    </row>
    <row r="72" spans="1:14" ht="42" x14ac:dyDescent="0.35">
      <c r="A72" s="9" t="s">
        <v>1051</v>
      </c>
      <c r="B72" s="10" t="s">
        <v>135</v>
      </c>
      <c r="C72" s="10" t="s">
        <v>1342</v>
      </c>
      <c r="D72" s="10">
        <v>6</v>
      </c>
      <c r="E72" s="10" t="s">
        <v>8</v>
      </c>
      <c r="F72" s="10" t="s">
        <v>853</v>
      </c>
      <c r="G72" s="10" t="s">
        <v>1343</v>
      </c>
      <c r="H72" s="10" t="s">
        <v>1344</v>
      </c>
      <c r="I72" s="10" t="s">
        <v>1345</v>
      </c>
      <c r="J72" s="10" t="s">
        <v>1346</v>
      </c>
      <c r="K72" s="10" t="s">
        <v>13</v>
      </c>
      <c r="L72" s="17" t="s">
        <v>1983</v>
      </c>
      <c r="M72" s="11" t="s">
        <v>137</v>
      </c>
      <c r="N72" s="19"/>
    </row>
    <row r="73" spans="1:14" ht="42" x14ac:dyDescent="0.35">
      <c r="A73" s="9" t="s">
        <v>1052</v>
      </c>
      <c r="B73" s="10" t="s">
        <v>135</v>
      </c>
      <c r="C73" s="10" t="s">
        <v>1347</v>
      </c>
      <c r="D73" s="10">
        <v>7</v>
      </c>
      <c r="E73" s="10" t="s">
        <v>20</v>
      </c>
      <c r="F73" s="10" t="s">
        <v>853</v>
      </c>
      <c r="G73" s="10" t="s">
        <v>1348</v>
      </c>
      <c r="H73" s="10" t="s">
        <v>1349</v>
      </c>
      <c r="I73" s="10" t="s">
        <v>1350</v>
      </c>
      <c r="J73" s="10" t="s">
        <v>1351</v>
      </c>
      <c r="K73" s="10" t="s">
        <v>13</v>
      </c>
      <c r="L73" s="17" t="s">
        <v>1983</v>
      </c>
      <c r="M73" s="11" t="s">
        <v>137</v>
      </c>
      <c r="N73" s="19"/>
    </row>
    <row r="74" spans="1:14" ht="28" x14ac:dyDescent="0.35">
      <c r="A74" s="9" t="s">
        <v>1053</v>
      </c>
      <c r="B74" s="10" t="s">
        <v>135</v>
      </c>
      <c r="C74" s="10" t="s">
        <v>1352</v>
      </c>
      <c r="D74" s="10">
        <v>5</v>
      </c>
      <c r="E74" s="10" t="s">
        <v>8</v>
      </c>
      <c r="F74" s="10" t="s">
        <v>400</v>
      </c>
      <c r="G74" s="10" t="s">
        <v>1353</v>
      </c>
      <c r="H74" s="10" t="s">
        <v>1354</v>
      </c>
      <c r="I74" s="10" t="s">
        <v>1355</v>
      </c>
      <c r="J74" s="10" t="s">
        <v>1356</v>
      </c>
      <c r="K74" s="10" t="s">
        <v>10</v>
      </c>
      <c r="L74" s="17" t="s">
        <v>1983</v>
      </c>
      <c r="M74" s="11" t="s">
        <v>137</v>
      </c>
      <c r="N74" s="19"/>
    </row>
    <row r="75" spans="1:14" ht="28" x14ac:dyDescent="0.35">
      <c r="A75" s="9" t="s">
        <v>1054</v>
      </c>
      <c r="B75" s="10" t="s">
        <v>135</v>
      </c>
      <c r="C75" s="10" t="s">
        <v>879</v>
      </c>
      <c r="D75" s="10">
        <v>4</v>
      </c>
      <c r="E75" s="10" t="s">
        <v>8</v>
      </c>
      <c r="F75" s="10" t="s">
        <v>400</v>
      </c>
      <c r="G75" s="10" t="s">
        <v>1357</v>
      </c>
      <c r="H75" s="10" t="s">
        <v>1358</v>
      </c>
      <c r="I75" s="10" t="s">
        <v>1359</v>
      </c>
      <c r="J75" s="10" t="s">
        <v>1360</v>
      </c>
      <c r="K75" s="10" t="s">
        <v>13</v>
      </c>
      <c r="L75" s="17" t="s">
        <v>1983</v>
      </c>
      <c r="M75" s="11" t="s">
        <v>137</v>
      </c>
      <c r="N75" s="19"/>
    </row>
    <row r="76" spans="1:14" ht="42" x14ac:dyDescent="0.35">
      <c r="A76" s="9" t="s">
        <v>1055</v>
      </c>
      <c r="B76" s="10" t="s">
        <v>135</v>
      </c>
      <c r="C76" s="10" t="s">
        <v>1361</v>
      </c>
      <c r="D76" s="10">
        <v>5</v>
      </c>
      <c r="E76" s="10" t="s">
        <v>8</v>
      </c>
      <c r="F76" s="10" t="s">
        <v>400</v>
      </c>
      <c r="G76" s="10" t="s">
        <v>1362</v>
      </c>
      <c r="H76" s="10" t="s">
        <v>1363</v>
      </c>
      <c r="I76" s="10" t="s">
        <v>1364</v>
      </c>
      <c r="J76" s="10" t="s">
        <v>1365</v>
      </c>
      <c r="K76" s="10" t="s">
        <v>13</v>
      </c>
      <c r="L76" s="17" t="s">
        <v>1983</v>
      </c>
      <c r="M76" s="11" t="s">
        <v>137</v>
      </c>
      <c r="N76" s="19"/>
    </row>
    <row r="77" spans="1:14" ht="42" x14ac:dyDescent="0.35">
      <c r="A77" s="9" t="s">
        <v>1056</v>
      </c>
      <c r="B77" s="10" t="s">
        <v>135</v>
      </c>
      <c r="C77" s="10" t="s">
        <v>1366</v>
      </c>
      <c r="D77" s="10">
        <v>6</v>
      </c>
      <c r="E77" s="10" t="s">
        <v>20</v>
      </c>
      <c r="F77" s="10" t="s">
        <v>400</v>
      </c>
      <c r="G77" s="10" t="s">
        <v>1367</v>
      </c>
      <c r="H77" s="10" t="s">
        <v>1368</v>
      </c>
      <c r="I77" s="10" t="s">
        <v>1369</v>
      </c>
      <c r="J77" s="10" t="s">
        <v>1370</v>
      </c>
      <c r="K77" s="10" t="s">
        <v>10</v>
      </c>
      <c r="L77" s="17" t="s">
        <v>1983</v>
      </c>
      <c r="M77" s="11" t="s">
        <v>137</v>
      </c>
      <c r="N77" s="19"/>
    </row>
    <row r="78" spans="1:14" ht="42" x14ac:dyDescent="0.35">
      <c r="A78" s="9" t="s">
        <v>1057</v>
      </c>
      <c r="B78" s="10" t="s">
        <v>135</v>
      </c>
      <c r="C78" s="10" t="s">
        <v>1371</v>
      </c>
      <c r="D78" s="10">
        <v>6</v>
      </c>
      <c r="E78" s="10" t="s">
        <v>8</v>
      </c>
      <c r="F78" s="10" t="s">
        <v>400</v>
      </c>
      <c r="G78" s="10" t="s">
        <v>1372</v>
      </c>
      <c r="H78" s="10" t="s">
        <v>1373</v>
      </c>
      <c r="I78" s="10" t="s">
        <v>1345</v>
      </c>
      <c r="J78" s="10" t="s">
        <v>1374</v>
      </c>
      <c r="K78" s="10" t="s">
        <v>13</v>
      </c>
      <c r="L78" s="17" t="s">
        <v>1983</v>
      </c>
      <c r="M78" s="11" t="s">
        <v>137</v>
      </c>
      <c r="N78" s="19"/>
    </row>
    <row r="79" spans="1:14" ht="42" x14ac:dyDescent="0.35">
      <c r="A79" s="9" t="s">
        <v>1058</v>
      </c>
      <c r="B79" s="10" t="s">
        <v>135</v>
      </c>
      <c r="C79" s="10" t="s">
        <v>1375</v>
      </c>
      <c r="D79" s="10">
        <v>6</v>
      </c>
      <c r="E79" s="10" t="s">
        <v>8</v>
      </c>
      <c r="F79" s="10" t="s">
        <v>427</v>
      </c>
      <c r="G79" s="10" t="s">
        <v>1376</v>
      </c>
      <c r="H79" s="10" t="s">
        <v>1377</v>
      </c>
      <c r="I79" s="10" t="s">
        <v>1378</v>
      </c>
      <c r="J79" s="10" t="s">
        <v>1379</v>
      </c>
      <c r="K79" s="10" t="s">
        <v>10</v>
      </c>
      <c r="L79" s="17" t="s">
        <v>1983</v>
      </c>
      <c r="M79" s="11" t="s">
        <v>137</v>
      </c>
      <c r="N79" s="19"/>
    </row>
    <row r="80" spans="1:14" ht="28" x14ac:dyDescent="0.35">
      <c r="A80" s="9" t="s">
        <v>1059</v>
      </c>
      <c r="B80" s="10" t="s">
        <v>135</v>
      </c>
      <c r="C80" s="10" t="s">
        <v>1380</v>
      </c>
      <c r="D80" s="10">
        <v>5</v>
      </c>
      <c r="E80" s="10" t="s">
        <v>20</v>
      </c>
      <c r="F80" s="10" t="s">
        <v>427</v>
      </c>
      <c r="G80" s="10" t="s">
        <v>1381</v>
      </c>
      <c r="H80" s="10" t="s">
        <v>1382</v>
      </c>
      <c r="I80" s="10" t="s">
        <v>54</v>
      </c>
      <c r="J80" s="10" t="s">
        <v>1383</v>
      </c>
      <c r="K80" s="10" t="s">
        <v>13</v>
      </c>
      <c r="L80" s="17" t="s">
        <v>1983</v>
      </c>
      <c r="M80" s="11" t="s">
        <v>137</v>
      </c>
      <c r="N80" s="19"/>
    </row>
    <row r="81" spans="1:14" ht="42" x14ac:dyDescent="0.35">
      <c r="A81" s="9" t="s">
        <v>1060</v>
      </c>
      <c r="B81" s="10" t="s">
        <v>135</v>
      </c>
      <c r="C81" s="10" t="s">
        <v>1384</v>
      </c>
      <c r="D81" s="10">
        <v>6</v>
      </c>
      <c r="E81" s="10" t="s">
        <v>8</v>
      </c>
      <c r="F81" s="10" t="s">
        <v>427</v>
      </c>
      <c r="G81" s="10" t="s">
        <v>1385</v>
      </c>
      <c r="H81" s="10" t="s">
        <v>1386</v>
      </c>
      <c r="I81" s="10" t="s">
        <v>1387</v>
      </c>
      <c r="J81" s="10" t="s">
        <v>1388</v>
      </c>
      <c r="K81" s="10" t="s">
        <v>13</v>
      </c>
      <c r="L81" s="17" t="s">
        <v>1983</v>
      </c>
      <c r="M81" s="11" t="s">
        <v>137</v>
      </c>
      <c r="N81" s="19"/>
    </row>
    <row r="82" spans="1:14" ht="28" x14ac:dyDescent="0.35">
      <c r="A82" s="9" t="s">
        <v>1061</v>
      </c>
      <c r="B82" s="10" t="s">
        <v>135</v>
      </c>
      <c r="C82" s="10" t="s">
        <v>1389</v>
      </c>
      <c r="D82" s="10">
        <v>7</v>
      </c>
      <c r="E82" s="10" t="s">
        <v>8</v>
      </c>
      <c r="F82" s="10" t="s">
        <v>427</v>
      </c>
      <c r="G82" s="10" t="s">
        <v>1390</v>
      </c>
      <c r="H82" s="10" t="s">
        <v>1391</v>
      </c>
      <c r="I82" s="10" t="s">
        <v>1392</v>
      </c>
      <c r="J82" s="10" t="s">
        <v>1393</v>
      </c>
      <c r="K82" s="10" t="s">
        <v>13</v>
      </c>
      <c r="L82" s="17" t="s">
        <v>1983</v>
      </c>
      <c r="M82" s="11" t="s">
        <v>137</v>
      </c>
      <c r="N82" s="19"/>
    </row>
    <row r="83" spans="1:14" ht="28" x14ac:dyDescent="0.35">
      <c r="A83" s="9" t="s">
        <v>1062</v>
      </c>
      <c r="B83" s="10" t="s">
        <v>135</v>
      </c>
      <c r="C83" s="10" t="s">
        <v>1394</v>
      </c>
      <c r="D83" s="10">
        <v>6</v>
      </c>
      <c r="E83" s="10" t="s">
        <v>20</v>
      </c>
      <c r="F83" s="10" t="s">
        <v>427</v>
      </c>
      <c r="G83" s="10" t="s">
        <v>1395</v>
      </c>
      <c r="H83" s="10" t="s">
        <v>1396</v>
      </c>
      <c r="I83" s="10" t="s">
        <v>1397</v>
      </c>
      <c r="J83" s="10" t="s">
        <v>1398</v>
      </c>
      <c r="K83" s="10" t="s">
        <v>13</v>
      </c>
      <c r="L83" s="17" t="s">
        <v>1983</v>
      </c>
      <c r="M83" s="11" t="s">
        <v>137</v>
      </c>
      <c r="N83" s="19"/>
    </row>
    <row r="84" spans="1:14" ht="42" x14ac:dyDescent="0.35">
      <c r="A84" s="9" t="s">
        <v>1063</v>
      </c>
      <c r="B84" s="10" t="s">
        <v>135</v>
      </c>
      <c r="C84" s="10" t="s">
        <v>1399</v>
      </c>
      <c r="D84" s="10">
        <v>6</v>
      </c>
      <c r="E84" s="10" t="s">
        <v>20</v>
      </c>
      <c r="F84" s="10" t="s">
        <v>427</v>
      </c>
      <c r="G84" s="10" t="s">
        <v>1400</v>
      </c>
      <c r="H84" s="10" t="s">
        <v>1401</v>
      </c>
      <c r="I84" s="10" t="s">
        <v>1402</v>
      </c>
      <c r="J84" s="10" t="s">
        <v>1403</v>
      </c>
      <c r="K84" s="10" t="s">
        <v>13</v>
      </c>
      <c r="L84" s="17" t="s">
        <v>1983</v>
      </c>
      <c r="M84" s="11" t="s">
        <v>137</v>
      </c>
      <c r="N84" s="19"/>
    </row>
    <row r="85" spans="1:14" ht="28" x14ac:dyDescent="0.35">
      <c r="A85" s="9" t="s">
        <v>1064</v>
      </c>
      <c r="B85" s="10" t="s">
        <v>135</v>
      </c>
      <c r="C85" s="10" t="s">
        <v>1404</v>
      </c>
      <c r="D85" s="10">
        <v>7</v>
      </c>
      <c r="E85" s="10" t="s">
        <v>1405</v>
      </c>
      <c r="F85" s="10" t="s">
        <v>427</v>
      </c>
      <c r="G85" s="10" t="s">
        <v>1406</v>
      </c>
      <c r="H85" s="10" t="s">
        <v>1407</v>
      </c>
      <c r="I85" s="10" t="s">
        <v>54</v>
      </c>
      <c r="J85" s="10" t="s">
        <v>1408</v>
      </c>
      <c r="K85" s="10" t="s">
        <v>13</v>
      </c>
      <c r="L85" s="17" t="s">
        <v>1983</v>
      </c>
      <c r="M85" s="11" t="s">
        <v>137</v>
      </c>
      <c r="N85" s="19"/>
    </row>
    <row r="86" spans="1:14" ht="42" x14ac:dyDescent="0.35">
      <c r="A86" s="9" t="s">
        <v>1065</v>
      </c>
      <c r="B86" s="10" t="s">
        <v>135</v>
      </c>
      <c r="C86" s="10" t="s">
        <v>1409</v>
      </c>
      <c r="D86" s="10">
        <v>8</v>
      </c>
      <c r="E86" s="10" t="s">
        <v>20</v>
      </c>
      <c r="F86" s="10" t="s">
        <v>1410</v>
      </c>
      <c r="G86" s="10" t="s">
        <v>1411</v>
      </c>
      <c r="H86" s="10" t="s">
        <v>1412</v>
      </c>
      <c r="I86" s="10" t="s">
        <v>1413</v>
      </c>
      <c r="J86" s="10" t="s">
        <v>1414</v>
      </c>
      <c r="K86" s="10" t="s">
        <v>10</v>
      </c>
      <c r="L86" s="17" t="s">
        <v>1983</v>
      </c>
      <c r="M86" s="11" t="s">
        <v>137</v>
      </c>
      <c r="N86" s="19"/>
    </row>
    <row r="87" spans="1:14" ht="42" x14ac:dyDescent="0.35">
      <c r="A87" s="9" t="s">
        <v>1066</v>
      </c>
      <c r="B87" s="10" t="s">
        <v>135</v>
      </c>
      <c r="C87" s="10" t="s">
        <v>1415</v>
      </c>
      <c r="D87" s="10">
        <v>10</v>
      </c>
      <c r="E87" s="10" t="s">
        <v>20</v>
      </c>
      <c r="F87" s="10" t="s">
        <v>1410</v>
      </c>
      <c r="G87" s="10" t="s">
        <v>1416</v>
      </c>
      <c r="H87" s="10" t="s">
        <v>1417</v>
      </c>
      <c r="I87" s="10" t="s">
        <v>1418</v>
      </c>
      <c r="J87" s="10" t="s">
        <v>1419</v>
      </c>
      <c r="K87" s="10" t="s">
        <v>10</v>
      </c>
      <c r="L87" s="17" t="s">
        <v>1983</v>
      </c>
      <c r="M87" s="11" t="s">
        <v>137</v>
      </c>
      <c r="N87" s="19"/>
    </row>
    <row r="88" spans="1:14" ht="84" x14ac:dyDescent="0.35">
      <c r="A88" s="9" t="s">
        <v>1067</v>
      </c>
      <c r="B88" s="10" t="s">
        <v>135</v>
      </c>
      <c r="C88" s="10" t="s">
        <v>1420</v>
      </c>
      <c r="D88" s="10">
        <v>5</v>
      </c>
      <c r="E88" s="10" t="s">
        <v>322</v>
      </c>
      <c r="F88" s="10" t="s">
        <v>322</v>
      </c>
      <c r="G88" s="10" t="s">
        <v>1421</v>
      </c>
      <c r="H88" s="10" t="s">
        <v>1422</v>
      </c>
      <c r="I88" s="10" t="s">
        <v>54</v>
      </c>
      <c r="J88" s="10" t="s">
        <v>1423</v>
      </c>
      <c r="K88" s="10" t="s">
        <v>13</v>
      </c>
      <c r="L88" s="17" t="s">
        <v>1983</v>
      </c>
      <c r="M88" s="11" t="s">
        <v>137</v>
      </c>
      <c r="N88" s="19"/>
    </row>
    <row r="89" spans="1:14" ht="42" x14ac:dyDescent="0.35">
      <c r="A89" s="9" t="s">
        <v>1068</v>
      </c>
      <c r="B89" s="10" t="s">
        <v>135</v>
      </c>
      <c r="C89" s="10" t="s">
        <v>1424</v>
      </c>
      <c r="D89" s="10">
        <v>6</v>
      </c>
      <c r="E89" s="10" t="s">
        <v>322</v>
      </c>
      <c r="F89" s="10" t="s">
        <v>1425</v>
      </c>
      <c r="G89" s="10" t="s">
        <v>634</v>
      </c>
      <c r="H89" s="10" t="s">
        <v>1426</v>
      </c>
      <c r="I89" s="10" t="s">
        <v>54</v>
      </c>
      <c r="J89" s="10" t="s">
        <v>1427</v>
      </c>
      <c r="K89" s="10" t="s">
        <v>13</v>
      </c>
      <c r="L89" s="17" t="s">
        <v>1983</v>
      </c>
      <c r="M89" s="11" t="s">
        <v>137</v>
      </c>
      <c r="N89" s="19"/>
    </row>
    <row r="90" spans="1:14" ht="28" x14ac:dyDescent="0.35">
      <c r="A90" s="9" t="s">
        <v>1069</v>
      </c>
      <c r="B90" s="10" t="s">
        <v>135</v>
      </c>
      <c r="C90" s="10" t="s">
        <v>1428</v>
      </c>
      <c r="D90" s="10">
        <v>8</v>
      </c>
      <c r="E90" s="10" t="s">
        <v>91</v>
      </c>
      <c r="F90" s="10" t="s">
        <v>458</v>
      </c>
      <c r="G90" s="10" t="s">
        <v>1429</v>
      </c>
      <c r="H90" s="10" t="s">
        <v>1430</v>
      </c>
      <c r="I90" s="10" t="s">
        <v>54</v>
      </c>
      <c r="J90" s="10" t="s">
        <v>940</v>
      </c>
      <c r="K90" s="10" t="s">
        <v>10</v>
      </c>
      <c r="L90" s="22" t="s">
        <v>1985</v>
      </c>
      <c r="M90" s="11" t="s">
        <v>137</v>
      </c>
      <c r="N90" s="17"/>
    </row>
    <row r="91" spans="1:14" ht="42" x14ac:dyDescent="0.35">
      <c r="A91" s="9" t="s">
        <v>1070</v>
      </c>
      <c r="B91" s="10" t="s">
        <v>135</v>
      </c>
      <c r="C91" s="10" t="s">
        <v>1431</v>
      </c>
      <c r="D91" s="10">
        <v>5</v>
      </c>
      <c r="E91" s="10" t="s">
        <v>8</v>
      </c>
      <c r="F91" s="10" t="s">
        <v>462</v>
      </c>
      <c r="G91" s="10" t="s">
        <v>1432</v>
      </c>
      <c r="H91" s="10" t="s">
        <v>943</v>
      </c>
      <c r="I91" s="10" t="s">
        <v>54</v>
      </c>
      <c r="J91" s="10" t="s">
        <v>1433</v>
      </c>
      <c r="K91" s="10" t="s">
        <v>13</v>
      </c>
      <c r="L91" s="17" t="s">
        <v>1983</v>
      </c>
      <c r="M91" s="11" t="s">
        <v>137</v>
      </c>
      <c r="N91" s="17"/>
    </row>
    <row r="92" spans="1:14" ht="42" x14ac:dyDescent="0.35">
      <c r="A92" s="9" t="s">
        <v>1071</v>
      </c>
      <c r="B92" s="10" t="s">
        <v>135</v>
      </c>
      <c r="C92" s="10" t="s">
        <v>1434</v>
      </c>
      <c r="D92" s="10">
        <v>6</v>
      </c>
      <c r="E92" s="10" t="s">
        <v>91</v>
      </c>
      <c r="F92" s="10" t="s">
        <v>462</v>
      </c>
      <c r="G92" s="10" t="s">
        <v>1435</v>
      </c>
      <c r="H92" s="10" t="s">
        <v>947</v>
      </c>
      <c r="I92" s="10" t="s">
        <v>54</v>
      </c>
      <c r="J92" s="10" t="s">
        <v>1436</v>
      </c>
      <c r="K92" s="10" t="s">
        <v>13</v>
      </c>
      <c r="L92" s="17" t="s">
        <v>1983</v>
      </c>
      <c r="M92" s="11" t="s">
        <v>137</v>
      </c>
      <c r="N92" s="19"/>
    </row>
    <row r="93" spans="1:14" ht="42" x14ac:dyDescent="0.35">
      <c r="A93" s="9" t="s">
        <v>1072</v>
      </c>
      <c r="B93" s="10" t="s">
        <v>135</v>
      </c>
      <c r="C93" s="10" t="s">
        <v>1437</v>
      </c>
      <c r="D93" s="10">
        <v>6</v>
      </c>
      <c r="E93" s="10" t="s">
        <v>8</v>
      </c>
      <c r="F93" s="10" t="s">
        <v>467</v>
      </c>
      <c r="G93" s="10" t="s">
        <v>1438</v>
      </c>
      <c r="H93" s="10" t="s">
        <v>1439</v>
      </c>
      <c r="I93" s="10" t="s">
        <v>54</v>
      </c>
      <c r="J93" s="10" t="s">
        <v>952</v>
      </c>
      <c r="K93" s="10" t="s">
        <v>13</v>
      </c>
      <c r="L93" s="17" t="s">
        <v>1983</v>
      </c>
      <c r="M93" s="11" t="s">
        <v>137</v>
      </c>
      <c r="N93" s="19"/>
    </row>
    <row r="94" spans="1:14" ht="28" x14ac:dyDescent="0.35">
      <c r="A94" s="9" t="s">
        <v>1073</v>
      </c>
      <c r="B94" s="10" t="s">
        <v>135</v>
      </c>
      <c r="C94" s="10" t="s">
        <v>1440</v>
      </c>
      <c r="D94" s="10">
        <v>6</v>
      </c>
      <c r="E94" s="10" t="s">
        <v>8</v>
      </c>
      <c r="F94" s="10" t="s">
        <v>467</v>
      </c>
      <c r="G94" s="10" t="s">
        <v>1113</v>
      </c>
      <c r="H94" s="10" t="s">
        <v>1441</v>
      </c>
      <c r="I94" s="10" t="s">
        <v>54</v>
      </c>
      <c r="J94" s="10" t="s">
        <v>1442</v>
      </c>
      <c r="K94" s="10" t="s">
        <v>13</v>
      </c>
      <c r="L94" s="17" t="s">
        <v>1983</v>
      </c>
      <c r="M94" s="11" t="s">
        <v>137</v>
      </c>
      <c r="N94" s="19"/>
    </row>
    <row r="95" spans="1:14" ht="42" x14ac:dyDescent="0.35">
      <c r="A95" s="9" t="s">
        <v>1074</v>
      </c>
      <c r="B95" s="10" t="s">
        <v>135</v>
      </c>
      <c r="C95" s="10" t="s">
        <v>1443</v>
      </c>
      <c r="D95" s="10">
        <v>10</v>
      </c>
      <c r="E95" s="10" t="s">
        <v>91</v>
      </c>
      <c r="F95" s="10" t="s">
        <v>467</v>
      </c>
      <c r="G95" s="10" t="s">
        <v>1444</v>
      </c>
      <c r="H95" s="10" t="s">
        <v>1445</v>
      </c>
      <c r="I95" s="10" t="s">
        <v>54</v>
      </c>
      <c r="J95" s="10" t="s">
        <v>1446</v>
      </c>
      <c r="K95" s="10" t="s">
        <v>10</v>
      </c>
      <c r="L95" s="22" t="s">
        <v>1985</v>
      </c>
      <c r="M95" s="11" t="s">
        <v>137</v>
      </c>
      <c r="N95" s="17"/>
    </row>
    <row r="96" spans="1:14" ht="28" x14ac:dyDescent="0.35">
      <c r="A96" s="9" t="s">
        <v>1075</v>
      </c>
      <c r="B96" s="10" t="s">
        <v>135</v>
      </c>
      <c r="C96" s="10" t="s">
        <v>1447</v>
      </c>
      <c r="D96" s="10">
        <v>5</v>
      </c>
      <c r="E96" s="10" t="s">
        <v>8</v>
      </c>
      <c r="F96" s="10" t="s">
        <v>476</v>
      </c>
      <c r="G96" s="10" t="s">
        <v>1448</v>
      </c>
      <c r="H96" s="10" t="s">
        <v>1449</v>
      </c>
      <c r="I96" s="10" t="s">
        <v>1448</v>
      </c>
      <c r="J96" s="10" t="s">
        <v>1450</v>
      </c>
      <c r="K96" s="10" t="s">
        <v>13</v>
      </c>
      <c r="L96" s="17" t="s">
        <v>1983</v>
      </c>
      <c r="M96" s="11" t="s">
        <v>137</v>
      </c>
      <c r="N96" s="19"/>
    </row>
    <row r="97" spans="1:14" ht="28" x14ac:dyDescent="0.35">
      <c r="A97" s="9" t="s">
        <v>1076</v>
      </c>
      <c r="B97" s="10" t="s">
        <v>135</v>
      </c>
      <c r="C97" s="10" t="s">
        <v>1451</v>
      </c>
      <c r="D97" s="10">
        <v>7</v>
      </c>
      <c r="E97" s="10" t="s">
        <v>19</v>
      </c>
      <c r="F97" s="10" t="s">
        <v>476</v>
      </c>
      <c r="G97" s="10" t="s">
        <v>480</v>
      </c>
      <c r="H97" s="10" t="s">
        <v>1452</v>
      </c>
      <c r="I97" s="10" t="s">
        <v>478</v>
      </c>
      <c r="J97" s="10" t="s">
        <v>1453</v>
      </c>
      <c r="K97" s="10" t="s">
        <v>10</v>
      </c>
      <c r="L97" s="17" t="s">
        <v>1983</v>
      </c>
      <c r="M97" s="11" t="s">
        <v>137</v>
      </c>
      <c r="N97" s="19"/>
    </row>
    <row r="98" spans="1:14" ht="42" x14ac:dyDescent="0.35">
      <c r="A98" s="9" t="s">
        <v>1077</v>
      </c>
      <c r="B98" s="10" t="s">
        <v>135</v>
      </c>
      <c r="C98" s="10" t="s">
        <v>964</v>
      </c>
      <c r="D98" s="10">
        <v>7</v>
      </c>
      <c r="E98" s="10" t="s">
        <v>19</v>
      </c>
      <c r="F98" s="10" t="s">
        <v>483</v>
      </c>
      <c r="G98" s="10" t="s">
        <v>771</v>
      </c>
      <c r="H98" s="10" t="s">
        <v>1618</v>
      </c>
      <c r="I98" s="10" t="s">
        <v>485</v>
      </c>
      <c r="J98" s="10" t="s">
        <v>965</v>
      </c>
      <c r="K98" s="10" t="s">
        <v>10</v>
      </c>
      <c r="L98" s="22" t="s">
        <v>1985</v>
      </c>
      <c r="M98" s="11" t="s">
        <v>137</v>
      </c>
      <c r="N98" s="19"/>
    </row>
    <row r="99" spans="1:14" ht="28" x14ac:dyDescent="0.35">
      <c r="A99" s="9" t="s">
        <v>1078</v>
      </c>
      <c r="B99" s="10" t="s">
        <v>135</v>
      </c>
      <c r="C99" s="10" t="s">
        <v>1454</v>
      </c>
      <c r="D99" s="10">
        <v>7</v>
      </c>
      <c r="E99" s="10" t="s">
        <v>19</v>
      </c>
      <c r="F99" s="10" t="s">
        <v>483</v>
      </c>
      <c r="G99" s="10" t="s">
        <v>634</v>
      </c>
      <c r="H99" s="10" t="s">
        <v>1619</v>
      </c>
      <c r="I99" s="12" t="s">
        <v>487</v>
      </c>
      <c r="J99" s="10" t="s">
        <v>1455</v>
      </c>
      <c r="K99" s="10" t="s">
        <v>10</v>
      </c>
      <c r="L99" s="22" t="s">
        <v>1985</v>
      </c>
      <c r="M99" s="11" t="s">
        <v>137</v>
      </c>
      <c r="N99" s="17"/>
    </row>
    <row r="100" spans="1:14" ht="42" x14ac:dyDescent="0.35">
      <c r="A100" s="9" t="s">
        <v>1079</v>
      </c>
      <c r="B100" s="10" t="s">
        <v>135</v>
      </c>
      <c r="C100" s="10" t="s">
        <v>1456</v>
      </c>
      <c r="D100" s="10">
        <v>6</v>
      </c>
      <c r="E100" s="10" t="s">
        <v>483</v>
      </c>
      <c r="F100" s="10" t="s">
        <v>489</v>
      </c>
      <c r="G100" s="10" t="s">
        <v>771</v>
      </c>
      <c r="H100" s="10" t="s">
        <v>1457</v>
      </c>
      <c r="I100" s="10" t="s">
        <v>968</v>
      </c>
      <c r="J100" s="10" t="s">
        <v>969</v>
      </c>
      <c r="K100" s="10" t="s">
        <v>13</v>
      </c>
      <c r="L100" s="17" t="s">
        <v>1983</v>
      </c>
      <c r="M100" s="11" t="s">
        <v>137</v>
      </c>
      <c r="N100" s="19"/>
    </row>
    <row r="101" spans="1:14" ht="28" x14ac:dyDescent="0.35">
      <c r="A101" s="9" t="s">
        <v>1080</v>
      </c>
      <c r="B101" s="10" t="s">
        <v>135</v>
      </c>
      <c r="C101" s="10" t="s">
        <v>1458</v>
      </c>
      <c r="D101" s="10">
        <v>5</v>
      </c>
      <c r="E101" s="10" t="s">
        <v>483</v>
      </c>
      <c r="F101" s="10" t="s">
        <v>489</v>
      </c>
      <c r="G101" s="10" t="s">
        <v>771</v>
      </c>
      <c r="H101" s="10" t="s">
        <v>1459</v>
      </c>
      <c r="I101" s="10" t="s">
        <v>1460</v>
      </c>
      <c r="J101" s="10" t="s">
        <v>972</v>
      </c>
      <c r="K101" s="10" t="s">
        <v>14</v>
      </c>
      <c r="L101" s="17" t="s">
        <v>1983</v>
      </c>
      <c r="M101" s="11" t="s">
        <v>137</v>
      </c>
      <c r="N101" s="19"/>
    </row>
    <row r="102" spans="1:14" ht="42" x14ac:dyDescent="0.35">
      <c r="A102" s="9" t="s">
        <v>1081</v>
      </c>
      <c r="B102" s="10" t="s">
        <v>135</v>
      </c>
      <c r="C102" s="10" t="s">
        <v>973</v>
      </c>
      <c r="D102" s="10">
        <v>10</v>
      </c>
      <c r="E102" s="10" t="s">
        <v>19</v>
      </c>
      <c r="F102" s="10" t="s">
        <v>494</v>
      </c>
      <c r="G102" s="10" t="s">
        <v>771</v>
      </c>
      <c r="H102" s="10" t="s">
        <v>1461</v>
      </c>
      <c r="I102" s="10" t="s">
        <v>54</v>
      </c>
      <c r="J102" s="10" t="s">
        <v>974</v>
      </c>
      <c r="K102" s="10" t="s">
        <v>10</v>
      </c>
      <c r="L102" s="17" t="s">
        <v>1983</v>
      </c>
      <c r="M102" s="11" t="s">
        <v>137</v>
      </c>
      <c r="N102" s="19"/>
    </row>
    <row r="103" spans="1:14" ht="28" x14ac:dyDescent="0.35">
      <c r="A103" s="9" t="s">
        <v>1082</v>
      </c>
      <c r="B103" s="10" t="s">
        <v>135</v>
      </c>
      <c r="C103" s="10" t="s">
        <v>1462</v>
      </c>
      <c r="D103" s="10">
        <v>6</v>
      </c>
      <c r="E103" s="10" t="s">
        <v>19</v>
      </c>
      <c r="F103" s="10" t="s">
        <v>497</v>
      </c>
      <c r="G103" s="10" t="s">
        <v>54</v>
      </c>
      <c r="H103" s="10" t="s">
        <v>1463</v>
      </c>
      <c r="I103" s="10" t="s">
        <v>54</v>
      </c>
      <c r="J103" s="10" t="s">
        <v>977</v>
      </c>
      <c r="K103" s="10" t="s">
        <v>10</v>
      </c>
      <c r="L103" s="22" t="s">
        <v>1985</v>
      </c>
      <c r="M103" s="11" t="s">
        <v>137</v>
      </c>
      <c r="N103" s="19"/>
    </row>
    <row r="104" spans="1:14" ht="42" x14ac:dyDescent="0.35">
      <c r="A104" s="9" t="s">
        <v>1083</v>
      </c>
      <c r="B104" s="10" t="s">
        <v>135</v>
      </c>
      <c r="C104" s="10" t="s">
        <v>1464</v>
      </c>
      <c r="D104" s="10">
        <v>6</v>
      </c>
      <c r="E104" s="10" t="s">
        <v>19</v>
      </c>
      <c r="F104" s="10" t="s">
        <v>497</v>
      </c>
      <c r="G104" s="10" t="s">
        <v>500</v>
      </c>
      <c r="H104" s="10" t="s">
        <v>1465</v>
      </c>
      <c r="I104" s="10" t="s">
        <v>54</v>
      </c>
      <c r="J104" s="10" t="s">
        <v>502</v>
      </c>
      <c r="K104" s="10" t="s">
        <v>10</v>
      </c>
      <c r="L104" s="22" t="s">
        <v>1985</v>
      </c>
      <c r="M104" s="11" t="s">
        <v>137</v>
      </c>
      <c r="N104" s="19"/>
    </row>
    <row r="105" spans="1:14" ht="42" x14ac:dyDescent="0.35">
      <c r="A105" s="9" t="s">
        <v>1084</v>
      </c>
      <c r="B105" s="10" t="s">
        <v>135</v>
      </c>
      <c r="C105" s="10" t="s">
        <v>1466</v>
      </c>
      <c r="D105" s="10">
        <v>12</v>
      </c>
      <c r="E105" s="10" t="s">
        <v>91</v>
      </c>
      <c r="F105" s="10" t="s">
        <v>313</v>
      </c>
      <c r="G105" s="10" t="s">
        <v>981</v>
      </c>
      <c r="H105" s="10" t="s">
        <v>1467</v>
      </c>
      <c r="I105" s="10" t="s">
        <v>54</v>
      </c>
      <c r="J105" s="10" t="s">
        <v>506</v>
      </c>
      <c r="K105" s="10" t="s">
        <v>10</v>
      </c>
      <c r="L105" s="17" t="s">
        <v>1983</v>
      </c>
      <c r="M105" s="11" t="s">
        <v>137</v>
      </c>
      <c r="N105" s="19"/>
    </row>
    <row r="106" spans="1:14" ht="42" x14ac:dyDescent="0.35">
      <c r="A106" s="9" t="s">
        <v>1085</v>
      </c>
      <c r="B106" s="10" t="s">
        <v>135</v>
      </c>
      <c r="C106" s="10" t="s">
        <v>1468</v>
      </c>
      <c r="D106" s="10">
        <v>15</v>
      </c>
      <c r="E106" s="10" t="s">
        <v>200</v>
      </c>
      <c r="F106" s="10" t="s">
        <v>508</v>
      </c>
      <c r="G106" s="10" t="s">
        <v>1438</v>
      </c>
      <c r="H106" s="10" t="s">
        <v>984</v>
      </c>
      <c r="I106" s="10" t="s">
        <v>54</v>
      </c>
      <c r="J106" s="10" t="s">
        <v>509</v>
      </c>
      <c r="K106" s="10" t="s">
        <v>13</v>
      </c>
      <c r="L106" s="22" t="s">
        <v>1985</v>
      </c>
      <c r="M106" s="11" t="s">
        <v>137</v>
      </c>
      <c r="N106" s="19"/>
    </row>
    <row r="107" spans="1:14" ht="42" x14ac:dyDescent="0.35">
      <c r="A107" s="9" t="s">
        <v>1086</v>
      </c>
      <c r="B107" s="10" t="s">
        <v>135</v>
      </c>
      <c r="C107" s="10" t="s">
        <v>1469</v>
      </c>
      <c r="D107" s="10">
        <v>15</v>
      </c>
      <c r="E107" s="10" t="s">
        <v>200</v>
      </c>
      <c r="F107" s="10" t="s">
        <v>511</v>
      </c>
      <c r="G107" s="10" t="s">
        <v>512</v>
      </c>
      <c r="H107" s="10" t="s">
        <v>1470</v>
      </c>
      <c r="I107" s="10" t="s">
        <v>54</v>
      </c>
      <c r="J107" s="10" t="s">
        <v>986</v>
      </c>
      <c r="K107" s="10" t="s">
        <v>13</v>
      </c>
      <c r="L107" s="22" t="s">
        <v>1985</v>
      </c>
      <c r="M107" s="11" t="s">
        <v>137</v>
      </c>
      <c r="N107" s="19"/>
    </row>
  </sheetData>
  <mergeCells count="1">
    <mergeCell ref="E1:G1"/>
  </mergeCells>
  <phoneticPr fontId="1" type="noConversion"/>
  <dataValidations count="2">
    <dataValidation type="list" allowBlank="1" showInputMessage="1" showErrorMessage="1" sqref="I8:I66" xr:uid="{35C02898-9A2D-493B-AF72-82EDE75CA456}">
      <formula1>"HIGH, NORMAL, LOW"</formula1>
    </dataValidation>
    <dataValidation type="list" allowBlank="1" showInputMessage="1" showErrorMessage="1" sqref="L8:L107" xr:uid="{DE7B5494-00E3-454C-A850-A83263731473}">
      <formula1>"PASS, FAIL, BLOCKED"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DAB-C622-47EE-B206-ABF093EE117D}">
  <dimension ref="A1:O107"/>
  <sheetViews>
    <sheetView topLeftCell="A6" zoomScale="70" zoomScaleNormal="70" workbookViewId="0">
      <selection activeCell="J17" sqref="J17"/>
    </sheetView>
  </sheetViews>
  <sheetFormatPr defaultRowHeight="14.5" x14ac:dyDescent="0.35"/>
  <cols>
    <col min="1" max="1" width="8.7265625" style="4"/>
    <col min="2" max="2" width="17" style="4" customWidth="1"/>
    <col min="3" max="3" width="41.453125" style="4" bestFit="1" customWidth="1"/>
    <col min="4" max="4" width="11" style="4" customWidth="1"/>
    <col min="5" max="5" width="12.26953125" style="4" customWidth="1"/>
    <col min="6" max="6" width="13.81640625" style="4" customWidth="1"/>
    <col min="7" max="7" width="19.54296875" style="4" customWidth="1"/>
    <col min="8" max="8" width="45.6328125" style="4" customWidth="1"/>
    <col min="9" max="9" width="16.81640625" style="4" customWidth="1"/>
    <col min="10" max="10" width="23.7265625" style="4" customWidth="1"/>
    <col min="11" max="11" width="16.453125" style="4" customWidth="1"/>
    <col min="12" max="12" width="14.08984375" customWidth="1"/>
    <col min="13" max="13" width="18.54296875" style="4" customWidth="1"/>
    <col min="14" max="14" width="15" style="20" customWidth="1"/>
    <col min="15" max="16384" width="8.7265625" style="4"/>
  </cols>
  <sheetData>
    <row r="1" spans="1:15" ht="22.5" x14ac:dyDescent="0.35">
      <c r="C1" s="19" t="s">
        <v>2001</v>
      </c>
      <c r="D1" s="2"/>
      <c r="E1" s="26" t="s">
        <v>1992</v>
      </c>
      <c r="F1" s="26"/>
      <c r="G1" s="26"/>
    </row>
    <row r="2" spans="1:15" x14ac:dyDescent="0.35">
      <c r="C2" s="19">
        <v>100</v>
      </c>
      <c r="D2" s="2"/>
      <c r="E2" s="14" t="s">
        <v>1980</v>
      </c>
      <c r="F2" s="14" t="s">
        <v>1993</v>
      </c>
      <c r="G2" s="14" t="s">
        <v>1994</v>
      </c>
    </row>
    <row r="3" spans="1:15" x14ac:dyDescent="0.35">
      <c r="C3" s="2"/>
      <c r="D3" s="2"/>
      <c r="E3" s="14" t="s">
        <v>1983</v>
      </c>
      <c r="F3" s="14">
        <f>COUNTIF(L8:L107,"PASS")</f>
        <v>72</v>
      </c>
      <c r="G3" s="24">
        <f>F3/$C$2</f>
        <v>0.72</v>
      </c>
    </row>
    <row r="4" spans="1:15" x14ac:dyDescent="0.35">
      <c r="C4" s="2"/>
      <c r="D4" s="2"/>
      <c r="E4" s="14" t="s">
        <v>1981</v>
      </c>
      <c r="F4" s="14">
        <f>COUNTIF(L8:L107,"FAIL")</f>
        <v>0</v>
      </c>
      <c r="G4" s="24">
        <f t="shared" ref="G4:G5" si="0">F4/$C$2</f>
        <v>0</v>
      </c>
    </row>
    <row r="5" spans="1:15" x14ac:dyDescent="0.35">
      <c r="C5" s="2"/>
      <c r="D5" s="2"/>
      <c r="E5" s="14" t="s">
        <v>1985</v>
      </c>
      <c r="F5" s="14">
        <f>COUNTIF(L8:L107,"BLOCKED")</f>
        <v>28</v>
      </c>
      <c r="G5" s="24">
        <f t="shared" si="0"/>
        <v>0.28000000000000003</v>
      </c>
    </row>
    <row r="7" spans="1:15" ht="28" x14ac:dyDescent="0.3">
      <c r="A7" s="6" t="s">
        <v>0</v>
      </c>
      <c r="B7" s="5" t="s">
        <v>21</v>
      </c>
      <c r="C7" s="7" t="s">
        <v>1</v>
      </c>
      <c r="D7" s="5" t="s">
        <v>2</v>
      </c>
      <c r="E7" s="5" t="s">
        <v>11</v>
      </c>
      <c r="F7" s="5" t="s">
        <v>3</v>
      </c>
      <c r="G7" s="5" t="s">
        <v>22</v>
      </c>
      <c r="H7" s="5" t="s">
        <v>4</v>
      </c>
      <c r="I7" s="5" t="s">
        <v>23</v>
      </c>
      <c r="J7" s="5" t="s">
        <v>5</v>
      </c>
      <c r="K7" s="5" t="s">
        <v>6</v>
      </c>
      <c r="L7" s="5" t="s">
        <v>1980</v>
      </c>
      <c r="M7" s="5" t="s">
        <v>7</v>
      </c>
      <c r="N7" s="6" t="s">
        <v>1982</v>
      </c>
      <c r="O7" s="25"/>
    </row>
    <row r="8" spans="1:15" ht="56" x14ac:dyDescent="0.3">
      <c r="A8" s="9" t="s">
        <v>1471</v>
      </c>
      <c r="B8" s="10" t="s">
        <v>135</v>
      </c>
      <c r="C8" s="10" t="s">
        <v>1571</v>
      </c>
      <c r="D8" s="10">
        <v>5</v>
      </c>
      <c r="E8" s="10" t="s">
        <v>8</v>
      </c>
      <c r="F8" s="10" t="s">
        <v>26</v>
      </c>
      <c r="G8" s="10" t="s">
        <v>774</v>
      </c>
      <c r="H8" s="10" t="s">
        <v>1613</v>
      </c>
      <c r="I8" s="10" t="s">
        <v>1572</v>
      </c>
      <c r="J8" s="10" t="s">
        <v>2118</v>
      </c>
      <c r="K8" s="10" t="s">
        <v>10</v>
      </c>
      <c r="L8" s="17" t="s">
        <v>1983</v>
      </c>
      <c r="M8" s="10" t="s">
        <v>137</v>
      </c>
      <c r="N8" s="19"/>
    </row>
    <row r="9" spans="1:15" ht="56" x14ac:dyDescent="0.3">
      <c r="A9" s="9" t="s">
        <v>1472</v>
      </c>
      <c r="B9" s="10" t="s">
        <v>135</v>
      </c>
      <c r="C9" s="10" t="s">
        <v>1573</v>
      </c>
      <c r="D9" s="10">
        <v>4</v>
      </c>
      <c r="E9" s="10" t="s">
        <v>483</v>
      </c>
      <c r="F9" s="10" t="s">
        <v>26</v>
      </c>
      <c r="G9" s="10" t="s">
        <v>774</v>
      </c>
      <c r="H9" s="10" t="s">
        <v>1620</v>
      </c>
      <c r="I9" s="10" t="s">
        <v>178</v>
      </c>
      <c r="J9" s="10" t="s">
        <v>2119</v>
      </c>
      <c r="K9" s="10" t="s">
        <v>10</v>
      </c>
      <c r="L9" s="17" t="s">
        <v>1983</v>
      </c>
      <c r="M9" s="10" t="s">
        <v>137</v>
      </c>
      <c r="N9" s="19"/>
    </row>
    <row r="10" spans="1:15" ht="56" x14ac:dyDescent="0.3">
      <c r="A10" s="9" t="s">
        <v>1473</v>
      </c>
      <c r="B10" s="10" t="s">
        <v>135</v>
      </c>
      <c r="C10" s="10" t="s">
        <v>1574</v>
      </c>
      <c r="D10" s="10">
        <v>4</v>
      </c>
      <c r="E10" s="10" t="s">
        <v>483</v>
      </c>
      <c r="F10" s="10" t="s">
        <v>26</v>
      </c>
      <c r="G10" s="10" t="s">
        <v>774</v>
      </c>
      <c r="H10" s="10" t="s">
        <v>1621</v>
      </c>
      <c r="I10" s="10" t="s">
        <v>1575</v>
      </c>
      <c r="J10" s="10" t="s">
        <v>2117</v>
      </c>
      <c r="K10" s="10" t="s">
        <v>10</v>
      </c>
      <c r="L10" s="17" t="s">
        <v>1983</v>
      </c>
      <c r="M10" s="10" t="s">
        <v>137</v>
      </c>
      <c r="N10" s="19"/>
    </row>
    <row r="11" spans="1:15" ht="56" x14ac:dyDescent="0.3">
      <c r="A11" s="9" t="s">
        <v>1474</v>
      </c>
      <c r="B11" s="10" t="s">
        <v>135</v>
      </c>
      <c r="C11" s="10" t="s">
        <v>1576</v>
      </c>
      <c r="D11" s="10">
        <v>4</v>
      </c>
      <c r="E11" s="10" t="s">
        <v>483</v>
      </c>
      <c r="F11" s="10" t="s">
        <v>26</v>
      </c>
      <c r="G11" s="10" t="s">
        <v>774</v>
      </c>
      <c r="H11" s="10" t="s">
        <v>1622</v>
      </c>
      <c r="I11" s="10" t="s">
        <v>1577</v>
      </c>
      <c r="J11" s="10" t="s">
        <v>2120</v>
      </c>
      <c r="K11" s="10" t="s">
        <v>10</v>
      </c>
      <c r="L11" s="17" t="s">
        <v>1983</v>
      </c>
      <c r="M11" s="10" t="s">
        <v>137</v>
      </c>
      <c r="N11" s="19"/>
    </row>
    <row r="12" spans="1:15" ht="70" x14ac:dyDescent="0.3">
      <c r="A12" s="9" t="s">
        <v>1475</v>
      </c>
      <c r="B12" s="10" t="s">
        <v>135</v>
      </c>
      <c r="C12" s="10" t="s">
        <v>1578</v>
      </c>
      <c r="D12" s="10">
        <v>6</v>
      </c>
      <c r="E12" s="10" t="s">
        <v>8</v>
      </c>
      <c r="F12" s="10" t="s">
        <v>26</v>
      </c>
      <c r="G12" s="10" t="s">
        <v>1579</v>
      </c>
      <c r="H12" s="10" t="s">
        <v>1623</v>
      </c>
      <c r="I12" s="10" t="s">
        <v>1580</v>
      </c>
      <c r="J12" s="10" t="s">
        <v>2121</v>
      </c>
      <c r="K12" s="10" t="s">
        <v>13</v>
      </c>
      <c r="L12" s="17" t="s">
        <v>1983</v>
      </c>
      <c r="M12" s="10" t="s">
        <v>137</v>
      </c>
      <c r="N12" s="19"/>
    </row>
    <row r="13" spans="1:15" ht="56" x14ac:dyDescent="0.3">
      <c r="A13" s="9" t="s">
        <v>1476</v>
      </c>
      <c r="B13" s="10" t="s">
        <v>135</v>
      </c>
      <c r="C13" s="10" t="s">
        <v>1581</v>
      </c>
      <c r="D13" s="10">
        <v>5</v>
      </c>
      <c r="E13" s="10" t="s">
        <v>483</v>
      </c>
      <c r="F13" s="10" t="s">
        <v>26</v>
      </c>
      <c r="G13" s="10" t="s">
        <v>774</v>
      </c>
      <c r="H13" s="10" t="s">
        <v>1624</v>
      </c>
      <c r="I13" s="10" t="s">
        <v>1582</v>
      </c>
      <c r="J13" s="10" t="s">
        <v>2122</v>
      </c>
      <c r="K13" s="10" t="s">
        <v>13</v>
      </c>
      <c r="L13" s="17" t="s">
        <v>1983</v>
      </c>
      <c r="M13" s="10" t="s">
        <v>137</v>
      </c>
      <c r="N13" s="19"/>
    </row>
    <row r="14" spans="1:15" ht="56" x14ac:dyDescent="0.3">
      <c r="A14" s="9" t="s">
        <v>1477</v>
      </c>
      <c r="B14" s="10" t="s">
        <v>135</v>
      </c>
      <c r="C14" s="10" t="s">
        <v>1583</v>
      </c>
      <c r="D14" s="10">
        <v>4</v>
      </c>
      <c r="E14" s="10" t="s">
        <v>483</v>
      </c>
      <c r="F14" s="10" t="s">
        <v>26</v>
      </c>
      <c r="G14" s="10" t="s">
        <v>774</v>
      </c>
      <c r="H14" s="10" t="s">
        <v>1625</v>
      </c>
      <c r="I14" s="10" t="s">
        <v>1584</v>
      </c>
      <c r="J14" s="10" t="s">
        <v>2123</v>
      </c>
      <c r="K14" s="10" t="s">
        <v>14</v>
      </c>
      <c r="L14" s="17" t="s">
        <v>1983</v>
      </c>
      <c r="M14" s="10" t="s">
        <v>137</v>
      </c>
      <c r="N14" s="19"/>
    </row>
    <row r="15" spans="1:15" ht="28" x14ac:dyDescent="0.3">
      <c r="A15" s="9" t="s">
        <v>1478</v>
      </c>
      <c r="B15" s="10" t="s">
        <v>135</v>
      </c>
      <c r="C15" s="10" t="s">
        <v>1585</v>
      </c>
      <c r="D15" s="10">
        <v>3</v>
      </c>
      <c r="E15" s="10" t="s">
        <v>8</v>
      </c>
      <c r="F15" s="10" t="s">
        <v>26</v>
      </c>
      <c r="G15" s="10" t="s">
        <v>774</v>
      </c>
      <c r="H15" s="10" t="s">
        <v>1626</v>
      </c>
      <c r="I15" s="10" t="s">
        <v>54</v>
      </c>
      <c r="J15" s="10" t="s">
        <v>1627</v>
      </c>
      <c r="K15" s="10" t="s">
        <v>13</v>
      </c>
      <c r="L15" s="17" t="s">
        <v>1983</v>
      </c>
      <c r="M15" s="10" t="s">
        <v>137</v>
      </c>
      <c r="N15" s="19"/>
    </row>
    <row r="16" spans="1:15" ht="70" x14ac:dyDescent="0.3">
      <c r="A16" s="9" t="s">
        <v>1479</v>
      </c>
      <c r="B16" s="10" t="s">
        <v>135</v>
      </c>
      <c r="C16" s="10" t="s">
        <v>1586</v>
      </c>
      <c r="D16" s="10">
        <v>5</v>
      </c>
      <c r="E16" s="10" t="s">
        <v>8</v>
      </c>
      <c r="F16" s="10" t="s">
        <v>26</v>
      </c>
      <c r="G16" s="10" t="s">
        <v>774</v>
      </c>
      <c r="H16" s="10" t="s">
        <v>1628</v>
      </c>
      <c r="I16" s="10" t="s">
        <v>54</v>
      </c>
      <c r="J16" s="10" t="s">
        <v>2124</v>
      </c>
      <c r="K16" s="10" t="s">
        <v>13</v>
      </c>
      <c r="L16" s="17" t="s">
        <v>1983</v>
      </c>
      <c r="M16" s="10" t="s">
        <v>137</v>
      </c>
      <c r="N16" s="19"/>
    </row>
    <row r="17" spans="1:14" ht="56" x14ac:dyDescent="0.3">
      <c r="A17" s="9" t="s">
        <v>1480</v>
      </c>
      <c r="B17" s="10" t="s">
        <v>135</v>
      </c>
      <c r="C17" s="10" t="s">
        <v>2002</v>
      </c>
      <c r="D17" s="10">
        <v>5</v>
      </c>
      <c r="E17" s="10" t="s">
        <v>483</v>
      </c>
      <c r="F17" s="10" t="s">
        <v>26</v>
      </c>
      <c r="G17" s="10" t="s">
        <v>1587</v>
      </c>
      <c r="H17" s="10" t="s">
        <v>2003</v>
      </c>
      <c r="I17" s="10" t="s">
        <v>1572</v>
      </c>
      <c r="J17" s="10" t="s">
        <v>2125</v>
      </c>
      <c r="K17" s="10" t="s">
        <v>13</v>
      </c>
      <c r="L17" s="17" t="s">
        <v>1983</v>
      </c>
      <c r="M17" s="10" t="s">
        <v>137</v>
      </c>
      <c r="N17" s="19"/>
    </row>
    <row r="18" spans="1:14" ht="28" x14ac:dyDescent="0.3">
      <c r="A18" s="9" t="s">
        <v>1481</v>
      </c>
      <c r="B18" s="10" t="s">
        <v>135</v>
      </c>
      <c r="C18" s="10" t="s">
        <v>2004</v>
      </c>
      <c r="D18" s="10">
        <v>3</v>
      </c>
      <c r="E18" s="10" t="s">
        <v>8</v>
      </c>
      <c r="F18" s="10" t="s">
        <v>57</v>
      </c>
      <c r="G18" s="10" t="s">
        <v>1587</v>
      </c>
      <c r="H18" s="10" t="s">
        <v>2005</v>
      </c>
      <c r="I18" s="10" t="s">
        <v>1572</v>
      </c>
      <c r="J18" s="10" t="s">
        <v>1629</v>
      </c>
      <c r="K18" s="10" t="s">
        <v>10</v>
      </c>
      <c r="L18" s="17" t="s">
        <v>1983</v>
      </c>
      <c r="M18" s="10" t="s">
        <v>137</v>
      </c>
      <c r="N18" s="19"/>
    </row>
    <row r="19" spans="1:14" ht="28" x14ac:dyDescent="0.3">
      <c r="A19" s="9" t="s">
        <v>1482</v>
      </c>
      <c r="B19" s="10" t="s">
        <v>135</v>
      </c>
      <c r="C19" s="10" t="s">
        <v>1588</v>
      </c>
      <c r="D19" s="10">
        <v>3</v>
      </c>
      <c r="E19" s="10" t="s">
        <v>8</v>
      </c>
      <c r="F19" s="10" t="s">
        <v>57</v>
      </c>
      <c r="G19" s="10" t="s">
        <v>1589</v>
      </c>
      <c r="H19" s="10" t="s">
        <v>1630</v>
      </c>
      <c r="I19" s="10" t="s">
        <v>1590</v>
      </c>
      <c r="J19" s="10" t="s">
        <v>1631</v>
      </c>
      <c r="K19" s="10" t="s">
        <v>13</v>
      </c>
      <c r="L19" s="17" t="s">
        <v>1983</v>
      </c>
      <c r="M19" s="10" t="s">
        <v>137</v>
      </c>
      <c r="N19" s="19"/>
    </row>
    <row r="20" spans="1:14" ht="28" x14ac:dyDescent="0.3">
      <c r="A20" s="9" t="s">
        <v>1483</v>
      </c>
      <c r="B20" s="10" t="s">
        <v>135</v>
      </c>
      <c r="C20" s="10" t="s">
        <v>1591</v>
      </c>
      <c r="D20" s="10">
        <v>3</v>
      </c>
      <c r="E20" s="10" t="s">
        <v>8</v>
      </c>
      <c r="F20" s="10" t="s">
        <v>57</v>
      </c>
      <c r="G20" s="10" t="s">
        <v>1592</v>
      </c>
      <c r="H20" s="10" t="s">
        <v>1632</v>
      </c>
      <c r="I20" s="10" t="s">
        <v>1100</v>
      </c>
      <c r="J20" s="10" t="s">
        <v>1633</v>
      </c>
      <c r="K20" s="10" t="s">
        <v>13</v>
      </c>
      <c r="L20" s="17" t="s">
        <v>1983</v>
      </c>
      <c r="M20" s="10" t="s">
        <v>137</v>
      </c>
      <c r="N20" s="19"/>
    </row>
    <row r="21" spans="1:14" ht="28" x14ac:dyDescent="0.3">
      <c r="A21" s="9" t="s">
        <v>1484</v>
      </c>
      <c r="B21" s="10" t="s">
        <v>135</v>
      </c>
      <c r="C21" s="10" t="s">
        <v>1593</v>
      </c>
      <c r="D21" s="10">
        <v>3</v>
      </c>
      <c r="E21" s="10" t="s">
        <v>8</v>
      </c>
      <c r="F21" s="10" t="s">
        <v>57</v>
      </c>
      <c r="G21" s="10" t="s">
        <v>1594</v>
      </c>
      <c r="H21" s="10" t="s">
        <v>1634</v>
      </c>
      <c r="I21" s="10" t="s">
        <v>1595</v>
      </c>
      <c r="J21" s="10" t="s">
        <v>1635</v>
      </c>
      <c r="K21" s="10" t="s">
        <v>13</v>
      </c>
      <c r="L21" s="17" t="s">
        <v>1983</v>
      </c>
      <c r="M21" s="10" t="s">
        <v>137</v>
      </c>
      <c r="N21" s="19"/>
    </row>
    <row r="22" spans="1:14" ht="28" x14ac:dyDescent="0.3">
      <c r="A22" s="9" t="s">
        <v>1485</v>
      </c>
      <c r="B22" s="10" t="s">
        <v>135</v>
      </c>
      <c r="C22" s="10" t="s">
        <v>1596</v>
      </c>
      <c r="D22" s="10">
        <v>4</v>
      </c>
      <c r="E22" s="10" t="s">
        <v>8</v>
      </c>
      <c r="F22" s="10" t="s">
        <v>57</v>
      </c>
      <c r="G22" s="10" t="s">
        <v>1597</v>
      </c>
      <c r="H22" s="10" t="s">
        <v>1636</v>
      </c>
      <c r="I22" s="10" t="s">
        <v>1598</v>
      </c>
      <c r="J22" s="10" t="s">
        <v>1637</v>
      </c>
      <c r="K22" s="10" t="s">
        <v>13</v>
      </c>
      <c r="L22" s="17" t="s">
        <v>1983</v>
      </c>
      <c r="M22" s="10" t="s">
        <v>137</v>
      </c>
      <c r="N22" s="19"/>
    </row>
    <row r="23" spans="1:14" ht="28" x14ac:dyDescent="0.3">
      <c r="A23" s="9" t="s">
        <v>1486</v>
      </c>
      <c r="B23" s="10" t="s">
        <v>135</v>
      </c>
      <c r="C23" s="10" t="s">
        <v>1599</v>
      </c>
      <c r="D23" s="10">
        <v>4</v>
      </c>
      <c r="E23" s="10" t="s">
        <v>8</v>
      </c>
      <c r="F23" s="10" t="s">
        <v>57</v>
      </c>
      <c r="G23" s="10" t="s">
        <v>1600</v>
      </c>
      <c r="H23" s="10" t="s">
        <v>1638</v>
      </c>
      <c r="I23" s="10" t="s">
        <v>1601</v>
      </c>
      <c r="J23" s="10" t="s">
        <v>1639</v>
      </c>
      <c r="K23" s="10" t="s">
        <v>13</v>
      </c>
      <c r="L23" s="17" t="s">
        <v>1983</v>
      </c>
      <c r="M23" s="10" t="s">
        <v>137</v>
      </c>
      <c r="N23" s="19"/>
    </row>
    <row r="24" spans="1:14" ht="28" x14ac:dyDescent="0.3">
      <c r="A24" s="9" t="s">
        <v>1487</v>
      </c>
      <c r="B24" s="10" t="s">
        <v>135</v>
      </c>
      <c r="C24" s="10" t="s">
        <v>1602</v>
      </c>
      <c r="D24" s="10">
        <v>5</v>
      </c>
      <c r="E24" s="10" t="s">
        <v>8</v>
      </c>
      <c r="F24" s="10" t="s">
        <v>57</v>
      </c>
      <c r="G24" s="10" t="s">
        <v>1603</v>
      </c>
      <c r="H24" s="10" t="s">
        <v>1640</v>
      </c>
      <c r="I24" s="10" t="s">
        <v>54</v>
      </c>
      <c r="J24" s="10" t="s">
        <v>1641</v>
      </c>
      <c r="K24" s="10" t="s">
        <v>13</v>
      </c>
      <c r="L24" s="17" t="s">
        <v>1983</v>
      </c>
      <c r="M24" s="10" t="s">
        <v>137</v>
      </c>
      <c r="N24" s="19"/>
    </row>
    <row r="25" spans="1:14" ht="28" x14ac:dyDescent="0.3">
      <c r="A25" s="9" t="s">
        <v>1488</v>
      </c>
      <c r="B25" s="10" t="s">
        <v>135</v>
      </c>
      <c r="C25" s="10" t="s">
        <v>1604</v>
      </c>
      <c r="D25" s="10">
        <v>3</v>
      </c>
      <c r="E25" s="10" t="s">
        <v>8</v>
      </c>
      <c r="F25" s="10" t="s">
        <v>57</v>
      </c>
      <c r="G25" s="10" t="s">
        <v>54</v>
      </c>
      <c r="H25" s="10" t="s">
        <v>1642</v>
      </c>
      <c r="I25" s="10" t="s">
        <v>1605</v>
      </c>
      <c r="J25" s="10" t="s">
        <v>1606</v>
      </c>
      <c r="K25" s="10" t="s">
        <v>14</v>
      </c>
      <c r="L25" s="17" t="s">
        <v>1983</v>
      </c>
      <c r="M25" s="10" t="s">
        <v>137</v>
      </c>
      <c r="N25" s="22"/>
    </row>
    <row r="26" spans="1:14" ht="28" x14ac:dyDescent="0.3">
      <c r="A26" s="9" t="s">
        <v>1489</v>
      </c>
      <c r="B26" s="10" t="s">
        <v>135</v>
      </c>
      <c r="C26" s="10" t="s">
        <v>1607</v>
      </c>
      <c r="D26" s="10">
        <v>3</v>
      </c>
      <c r="E26" s="10" t="s">
        <v>8</v>
      </c>
      <c r="F26" s="10" t="s">
        <v>57</v>
      </c>
      <c r="G26" s="10" t="s">
        <v>1608</v>
      </c>
      <c r="H26" s="10" t="s">
        <v>1643</v>
      </c>
      <c r="I26" s="10" t="s">
        <v>1609</v>
      </c>
      <c r="J26" s="10" t="s">
        <v>1610</v>
      </c>
      <c r="K26" s="10" t="s">
        <v>14</v>
      </c>
      <c r="L26" s="17" t="s">
        <v>1983</v>
      </c>
      <c r="M26" s="10" t="s">
        <v>137</v>
      </c>
      <c r="N26" s="17"/>
    </row>
    <row r="27" spans="1:14" ht="28" x14ac:dyDescent="0.3">
      <c r="A27" s="9" t="s">
        <v>1490</v>
      </c>
      <c r="B27" s="10" t="s">
        <v>135</v>
      </c>
      <c r="C27" s="10" t="s">
        <v>1611</v>
      </c>
      <c r="D27" s="10">
        <v>4</v>
      </c>
      <c r="E27" s="10" t="s">
        <v>8</v>
      </c>
      <c r="F27" s="10" t="s">
        <v>462</v>
      </c>
      <c r="G27" s="10" t="s">
        <v>1612</v>
      </c>
      <c r="H27" s="10" t="s">
        <v>1644</v>
      </c>
      <c r="I27" s="10" t="s">
        <v>54</v>
      </c>
      <c r="J27" s="10" t="s">
        <v>1645</v>
      </c>
      <c r="K27" s="10" t="s">
        <v>13</v>
      </c>
      <c r="L27" s="17" t="s">
        <v>1983</v>
      </c>
      <c r="M27" s="10" t="s">
        <v>137</v>
      </c>
      <c r="N27" s="19"/>
    </row>
    <row r="28" spans="1:14" ht="42" x14ac:dyDescent="0.3">
      <c r="A28" s="9" t="s">
        <v>1491</v>
      </c>
      <c r="B28" s="10" t="s">
        <v>135</v>
      </c>
      <c r="C28" s="10" t="s">
        <v>1646</v>
      </c>
      <c r="D28" s="10">
        <v>4</v>
      </c>
      <c r="E28" s="10" t="s">
        <v>8</v>
      </c>
      <c r="F28" s="10" t="s">
        <v>174</v>
      </c>
      <c r="G28" s="10" t="s">
        <v>1647</v>
      </c>
      <c r="H28" s="10" t="s">
        <v>1709</v>
      </c>
      <c r="I28" s="10" t="s">
        <v>1648</v>
      </c>
      <c r="J28" s="10" t="s">
        <v>1710</v>
      </c>
      <c r="K28" s="10" t="s">
        <v>10</v>
      </c>
      <c r="L28" s="17" t="s">
        <v>1983</v>
      </c>
      <c r="M28" s="10" t="s">
        <v>137</v>
      </c>
      <c r="N28" s="19"/>
    </row>
    <row r="29" spans="1:14" ht="42" x14ac:dyDescent="0.3">
      <c r="A29" s="9" t="s">
        <v>1492</v>
      </c>
      <c r="B29" s="10" t="s">
        <v>135</v>
      </c>
      <c r="C29" s="10" t="s">
        <v>1649</v>
      </c>
      <c r="D29" s="10">
        <v>4</v>
      </c>
      <c r="E29" s="10" t="s">
        <v>8</v>
      </c>
      <c r="F29" s="10" t="s">
        <v>174</v>
      </c>
      <c r="G29" s="10" t="s">
        <v>1650</v>
      </c>
      <c r="H29" s="10" t="s">
        <v>1711</v>
      </c>
      <c r="I29" s="10" t="s">
        <v>6</v>
      </c>
      <c r="J29" s="10" t="s">
        <v>1712</v>
      </c>
      <c r="K29" s="10" t="s">
        <v>13</v>
      </c>
      <c r="L29" s="17" t="s">
        <v>1983</v>
      </c>
      <c r="M29" s="10" t="s">
        <v>137</v>
      </c>
      <c r="N29" s="19"/>
    </row>
    <row r="30" spans="1:14" ht="28" x14ac:dyDescent="0.3">
      <c r="A30" s="9" t="s">
        <v>1493</v>
      </c>
      <c r="B30" s="10" t="s">
        <v>135</v>
      </c>
      <c r="C30" s="10" t="s">
        <v>1651</v>
      </c>
      <c r="D30" s="10">
        <v>4</v>
      </c>
      <c r="E30" s="10" t="s">
        <v>8</v>
      </c>
      <c r="F30" s="10" t="s">
        <v>174</v>
      </c>
      <c r="G30" s="10" t="s">
        <v>1652</v>
      </c>
      <c r="H30" s="10" t="s">
        <v>1713</v>
      </c>
      <c r="I30" s="10" t="s">
        <v>1653</v>
      </c>
      <c r="J30" s="10" t="s">
        <v>1714</v>
      </c>
      <c r="K30" s="10" t="s">
        <v>13</v>
      </c>
      <c r="L30" s="17" t="s">
        <v>1983</v>
      </c>
      <c r="M30" s="10" t="s">
        <v>137</v>
      </c>
      <c r="N30" s="19"/>
    </row>
    <row r="31" spans="1:14" ht="28" x14ac:dyDescent="0.3">
      <c r="A31" s="9" t="s">
        <v>1494</v>
      </c>
      <c r="B31" s="10" t="s">
        <v>135</v>
      </c>
      <c r="C31" s="10" t="s">
        <v>1654</v>
      </c>
      <c r="D31" s="10">
        <v>5</v>
      </c>
      <c r="E31" s="10" t="s">
        <v>8</v>
      </c>
      <c r="F31" s="10" t="s">
        <v>174</v>
      </c>
      <c r="G31" s="10" t="s">
        <v>1655</v>
      </c>
      <c r="H31" s="10" t="s">
        <v>1715</v>
      </c>
      <c r="I31" s="10" t="s">
        <v>1656</v>
      </c>
      <c r="J31" s="10" t="s">
        <v>1716</v>
      </c>
      <c r="K31" s="10" t="s">
        <v>10</v>
      </c>
      <c r="L31" s="17" t="s">
        <v>1983</v>
      </c>
      <c r="M31" s="10" t="s">
        <v>137</v>
      </c>
      <c r="N31" s="19"/>
    </row>
    <row r="32" spans="1:14" ht="42" x14ac:dyDescent="0.3">
      <c r="A32" s="9" t="s">
        <v>1495</v>
      </c>
      <c r="B32" s="10" t="s">
        <v>135</v>
      </c>
      <c r="C32" s="10" t="s">
        <v>1657</v>
      </c>
      <c r="D32" s="10">
        <v>4</v>
      </c>
      <c r="E32" s="10" t="s">
        <v>8</v>
      </c>
      <c r="F32" s="10" t="s">
        <v>1658</v>
      </c>
      <c r="G32" s="10" t="s">
        <v>1659</v>
      </c>
      <c r="H32" s="10" t="s">
        <v>1717</v>
      </c>
      <c r="I32" s="10" t="s">
        <v>1660</v>
      </c>
      <c r="J32" s="10" t="s">
        <v>1718</v>
      </c>
      <c r="K32" s="10" t="s">
        <v>10</v>
      </c>
      <c r="L32" s="17" t="s">
        <v>1983</v>
      </c>
      <c r="M32" s="10" t="s">
        <v>137</v>
      </c>
      <c r="N32" s="19"/>
    </row>
    <row r="33" spans="1:14" ht="42" x14ac:dyDescent="0.3">
      <c r="A33" s="9" t="s">
        <v>1496</v>
      </c>
      <c r="B33" s="10" t="s">
        <v>135</v>
      </c>
      <c r="C33" s="10" t="s">
        <v>1661</v>
      </c>
      <c r="D33" s="10">
        <v>5</v>
      </c>
      <c r="E33" s="10" t="s">
        <v>8</v>
      </c>
      <c r="F33" s="10" t="s">
        <v>1658</v>
      </c>
      <c r="G33" s="10" t="s">
        <v>1662</v>
      </c>
      <c r="H33" s="10" t="s">
        <v>1719</v>
      </c>
      <c r="I33" s="10" t="s">
        <v>1663</v>
      </c>
      <c r="J33" s="10" t="s">
        <v>1720</v>
      </c>
      <c r="K33" s="10" t="s">
        <v>10</v>
      </c>
      <c r="L33" s="17" t="s">
        <v>1983</v>
      </c>
      <c r="M33" s="10" t="s">
        <v>137</v>
      </c>
      <c r="N33" s="19"/>
    </row>
    <row r="34" spans="1:14" ht="42" x14ac:dyDescent="0.3">
      <c r="A34" s="9" t="s">
        <v>1497</v>
      </c>
      <c r="B34" s="10" t="s">
        <v>135</v>
      </c>
      <c r="C34" s="10" t="s">
        <v>1664</v>
      </c>
      <c r="D34" s="10">
        <v>5</v>
      </c>
      <c r="E34" s="10" t="s">
        <v>8</v>
      </c>
      <c r="F34" s="10" t="s">
        <v>1658</v>
      </c>
      <c r="G34" s="10" t="s">
        <v>1665</v>
      </c>
      <c r="H34" s="10" t="s">
        <v>1721</v>
      </c>
      <c r="I34" s="10" t="s">
        <v>1666</v>
      </c>
      <c r="J34" s="10" t="s">
        <v>1722</v>
      </c>
      <c r="K34" s="10" t="s">
        <v>10</v>
      </c>
      <c r="L34" s="17" t="s">
        <v>1983</v>
      </c>
      <c r="M34" s="10" t="s">
        <v>137</v>
      </c>
      <c r="N34" s="19"/>
    </row>
    <row r="35" spans="1:14" ht="42" x14ac:dyDescent="0.3">
      <c r="A35" s="9" t="s">
        <v>1498</v>
      </c>
      <c r="B35" s="10" t="s">
        <v>135</v>
      </c>
      <c r="C35" s="10" t="s">
        <v>1667</v>
      </c>
      <c r="D35" s="10">
        <v>5</v>
      </c>
      <c r="E35" s="10" t="s">
        <v>8</v>
      </c>
      <c r="F35" s="10" t="s">
        <v>1658</v>
      </c>
      <c r="G35" s="10" t="s">
        <v>1668</v>
      </c>
      <c r="H35" s="10" t="s">
        <v>1723</v>
      </c>
      <c r="I35" s="10" t="s">
        <v>1669</v>
      </c>
      <c r="J35" s="10" t="s">
        <v>1724</v>
      </c>
      <c r="K35" s="10" t="s">
        <v>10</v>
      </c>
      <c r="L35" s="17" t="s">
        <v>1983</v>
      </c>
      <c r="M35" s="10" t="s">
        <v>137</v>
      </c>
      <c r="N35" s="19"/>
    </row>
    <row r="36" spans="1:14" ht="42" x14ac:dyDescent="0.3">
      <c r="A36" s="9" t="s">
        <v>1499</v>
      </c>
      <c r="B36" s="10" t="s">
        <v>135</v>
      </c>
      <c r="C36" s="10" t="s">
        <v>1670</v>
      </c>
      <c r="D36" s="10">
        <v>5</v>
      </c>
      <c r="E36" s="10" t="s">
        <v>8</v>
      </c>
      <c r="F36" s="10" t="s">
        <v>1658</v>
      </c>
      <c r="G36" s="10" t="s">
        <v>1671</v>
      </c>
      <c r="H36" s="10" t="s">
        <v>1725</v>
      </c>
      <c r="I36" s="10" t="s">
        <v>1672</v>
      </c>
      <c r="J36" s="10" t="s">
        <v>1726</v>
      </c>
      <c r="K36" s="10" t="s">
        <v>10</v>
      </c>
      <c r="L36" s="17" t="s">
        <v>1983</v>
      </c>
      <c r="M36" s="10" t="s">
        <v>137</v>
      </c>
      <c r="N36" s="19"/>
    </row>
    <row r="37" spans="1:14" ht="28" x14ac:dyDescent="0.3">
      <c r="A37" s="9" t="s">
        <v>1500</v>
      </c>
      <c r="B37" s="10" t="s">
        <v>135</v>
      </c>
      <c r="C37" s="10" t="s">
        <v>1673</v>
      </c>
      <c r="D37" s="10">
        <v>5</v>
      </c>
      <c r="E37" s="10" t="s">
        <v>483</v>
      </c>
      <c r="F37" s="10" t="s">
        <v>1658</v>
      </c>
      <c r="G37" s="10" t="s">
        <v>1674</v>
      </c>
      <c r="H37" s="10" t="s">
        <v>1727</v>
      </c>
      <c r="I37" s="10" t="s">
        <v>1675</v>
      </c>
      <c r="J37" s="10" t="s">
        <v>1728</v>
      </c>
      <c r="K37" s="10" t="s">
        <v>10</v>
      </c>
      <c r="L37" s="17" t="s">
        <v>1983</v>
      </c>
      <c r="M37" s="10" t="s">
        <v>137</v>
      </c>
      <c r="N37" s="19"/>
    </row>
    <row r="38" spans="1:14" ht="28" x14ac:dyDescent="0.3">
      <c r="A38" s="9" t="s">
        <v>1501</v>
      </c>
      <c r="B38" s="10" t="s">
        <v>135</v>
      </c>
      <c r="C38" s="10" t="s">
        <v>1676</v>
      </c>
      <c r="D38" s="10">
        <v>3</v>
      </c>
      <c r="E38" s="10" t="s">
        <v>483</v>
      </c>
      <c r="F38" s="10" t="s">
        <v>174</v>
      </c>
      <c r="G38" s="10" t="s">
        <v>1677</v>
      </c>
      <c r="H38" s="10" t="s">
        <v>1729</v>
      </c>
      <c r="I38" s="10" t="s">
        <v>1678</v>
      </c>
      <c r="J38" s="10" t="s">
        <v>1730</v>
      </c>
      <c r="K38" s="10" t="s">
        <v>10</v>
      </c>
      <c r="L38" s="17" t="s">
        <v>1983</v>
      </c>
      <c r="M38" s="10" t="s">
        <v>137</v>
      </c>
      <c r="N38" s="19"/>
    </row>
    <row r="39" spans="1:14" ht="28" x14ac:dyDescent="0.3">
      <c r="A39" s="9" t="s">
        <v>1502</v>
      </c>
      <c r="B39" s="10" t="s">
        <v>135</v>
      </c>
      <c r="C39" s="10" t="s">
        <v>1679</v>
      </c>
      <c r="D39" s="10">
        <v>4</v>
      </c>
      <c r="E39" s="10" t="s">
        <v>483</v>
      </c>
      <c r="F39" s="10" t="s">
        <v>174</v>
      </c>
      <c r="G39" s="10" t="s">
        <v>1680</v>
      </c>
      <c r="H39" s="10" t="s">
        <v>1731</v>
      </c>
      <c r="I39" s="10" t="s">
        <v>1681</v>
      </c>
      <c r="J39" s="10" t="s">
        <v>1732</v>
      </c>
      <c r="K39" s="10" t="s">
        <v>14</v>
      </c>
      <c r="L39" s="17" t="s">
        <v>1983</v>
      </c>
      <c r="M39" s="10" t="s">
        <v>137</v>
      </c>
      <c r="N39" s="19"/>
    </row>
    <row r="40" spans="1:14" ht="42" x14ac:dyDescent="0.3">
      <c r="A40" s="9" t="s">
        <v>1503</v>
      </c>
      <c r="B40" s="10" t="s">
        <v>135</v>
      </c>
      <c r="C40" s="10" t="s">
        <v>1682</v>
      </c>
      <c r="D40" s="10">
        <v>6</v>
      </c>
      <c r="E40" s="10" t="s">
        <v>313</v>
      </c>
      <c r="F40" s="10" t="s">
        <v>174</v>
      </c>
      <c r="G40" s="10" t="s">
        <v>1683</v>
      </c>
      <c r="H40" s="10" t="s">
        <v>1733</v>
      </c>
      <c r="I40" s="10" t="s">
        <v>1684</v>
      </c>
      <c r="J40" s="10" t="s">
        <v>1734</v>
      </c>
      <c r="K40" s="10" t="s">
        <v>13</v>
      </c>
      <c r="L40" s="17" t="s">
        <v>1983</v>
      </c>
      <c r="M40" s="10" t="s">
        <v>137</v>
      </c>
      <c r="N40" s="19"/>
    </row>
    <row r="41" spans="1:14" ht="42" x14ac:dyDescent="0.3">
      <c r="A41" s="9" t="s">
        <v>1504</v>
      </c>
      <c r="B41" s="10" t="s">
        <v>135</v>
      </c>
      <c r="C41" s="10" t="s">
        <v>1685</v>
      </c>
      <c r="D41" s="10">
        <v>4</v>
      </c>
      <c r="E41" s="10" t="s">
        <v>8</v>
      </c>
      <c r="F41" s="10" t="s">
        <v>204</v>
      </c>
      <c r="G41" s="10" t="s">
        <v>1686</v>
      </c>
      <c r="H41" s="10" t="s">
        <v>1735</v>
      </c>
      <c r="I41" s="10" t="s">
        <v>1687</v>
      </c>
      <c r="J41" s="10" t="s">
        <v>1736</v>
      </c>
      <c r="K41" s="10" t="s">
        <v>10</v>
      </c>
      <c r="L41" s="17" t="s">
        <v>1983</v>
      </c>
      <c r="M41" s="10" t="s">
        <v>137</v>
      </c>
      <c r="N41" s="19"/>
    </row>
    <row r="42" spans="1:14" ht="28" x14ac:dyDescent="0.3">
      <c r="A42" s="9" t="s">
        <v>1505</v>
      </c>
      <c r="B42" s="10" t="s">
        <v>135</v>
      </c>
      <c r="C42" s="10" t="s">
        <v>1688</v>
      </c>
      <c r="D42" s="10">
        <v>5</v>
      </c>
      <c r="E42" s="10" t="s">
        <v>483</v>
      </c>
      <c r="F42" s="10" t="s">
        <v>204</v>
      </c>
      <c r="G42" s="10" t="s">
        <v>1689</v>
      </c>
      <c r="H42" s="10" t="s">
        <v>1737</v>
      </c>
      <c r="I42" s="10" t="s">
        <v>1690</v>
      </c>
      <c r="J42" s="10" t="s">
        <v>1738</v>
      </c>
      <c r="K42" s="10" t="s">
        <v>10</v>
      </c>
      <c r="L42" s="17" t="s">
        <v>1983</v>
      </c>
      <c r="M42" s="10" t="s">
        <v>137</v>
      </c>
      <c r="N42" s="19"/>
    </row>
    <row r="43" spans="1:14" ht="28" x14ac:dyDescent="0.3">
      <c r="A43" s="9" t="s">
        <v>1506</v>
      </c>
      <c r="B43" s="10" t="s">
        <v>135</v>
      </c>
      <c r="C43" s="10" t="s">
        <v>1691</v>
      </c>
      <c r="D43" s="10">
        <v>5</v>
      </c>
      <c r="E43" s="10" t="s">
        <v>483</v>
      </c>
      <c r="F43" s="10" t="s">
        <v>204</v>
      </c>
      <c r="G43" s="10" t="s">
        <v>1692</v>
      </c>
      <c r="H43" s="10" t="s">
        <v>1693</v>
      </c>
      <c r="I43" s="10" t="s">
        <v>1694</v>
      </c>
      <c r="J43" s="10" t="s">
        <v>1695</v>
      </c>
      <c r="K43" s="10" t="s">
        <v>10</v>
      </c>
      <c r="L43" s="17" t="s">
        <v>1983</v>
      </c>
      <c r="M43" s="10" t="s">
        <v>137</v>
      </c>
      <c r="N43" s="17"/>
    </row>
    <row r="44" spans="1:14" ht="42" x14ac:dyDescent="0.3">
      <c r="A44" s="9" t="s">
        <v>1507</v>
      </c>
      <c r="B44" s="10" t="s">
        <v>135</v>
      </c>
      <c r="C44" s="10" t="s">
        <v>1696</v>
      </c>
      <c r="D44" s="10">
        <v>6</v>
      </c>
      <c r="E44" s="10" t="s">
        <v>313</v>
      </c>
      <c r="F44" s="10" t="s">
        <v>204</v>
      </c>
      <c r="G44" s="10" t="s">
        <v>1697</v>
      </c>
      <c r="H44" s="10" t="s">
        <v>1739</v>
      </c>
      <c r="I44" s="10" t="s">
        <v>1698</v>
      </c>
      <c r="J44" s="10" t="s">
        <v>1740</v>
      </c>
      <c r="K44" s="10" t="s">
        <v>13</v>
      </c>
      <c r="L44" s="17" t="s">
        <v>1983</v>
      </c>
      <c r="M44" s="10" t="s">
        <v>137</v>
      </c>
      <c r="N44" s="19"/>
    </row>
    <row r="45" spans="1:14" ht="42" x14ac:dyDescent="0.3">
      <c r="A45" s="9" t="s">
        <v>1508</v>
      </c>
      <c r="B45" s="10" t="s">
        <v>135</v>
      </c>
      <c r="C45" s="10" t="s">
        <v>1699</v>
      </c>
      <c r="D45" s="10">
        <v>6</v>
      </c>
      <c r="E45" s="10" t="s">
        <v>8</v>
      </c>
      <c r="F45" s="10" t="s">
        <v>204</v>
      </c>
      <c r="G45" s="10" t="s">
        <v>1700</v>
      </c>
      <c r="H45" s="10" t="s">
        <v>1741</v>
      </c>
      <c r="I45" s="10" t="s">
        <v>1701</v>
      </c>
      <c r="J45" s="10" t="s">
        <v>1742</v>
      </c>
      <c r="K45" s="10" t="s">
        <v>13</v>
      </c>
      <c r="L45" s="17" t="s">
        <v>1983</v>
      </c>
      <c r="M45" s="10" t="s">
        <v>137</v>
      </c>
      <c r="N45" s="19"/>
    </row>
    <row r="46" spans="1:14" ht="28" x14ac:dyDescent="0.3">
      <c r="A46" s="9" t="s">
        <v>1509</v>
      </c>
      <c r="B46" s="10" t="s">
        <v>135</v>
      </c>
      <c r="C46" s="10" t="s">
        <v>1702</v>
      </c>
      <c r="D46" s="10">
        <v>5</v>
      </c>
      <c r="E46" s="10" t="s">
        <v>19</v>
      </c>
      <c r="F46" s="10" t="s">
        <v>204</v>
      </c>
      <c r="G46" s="10" t="s">
        <v>1703</v>
      </c>
      <c r="H46" s="10" t="s">
        <v>1704</v>
      </c>
      <c r="I46" s="10" t="s">
        <v>54</v>
      </c>
      <c r="J46" s="10" t="s">
        <v>1705</v>
      </c>
      <c r="K46" s="10" t="s">
        <v>10</v>
      </c>
      <c r="L46" s="22" t="s">
        <v>1985</v>
      </c>
      <c r="M46" s="10" t="s">
        <v>137</v>
      </c>
      <c r="N46" s="17"/>
    </row>
    <row r="47" spans="1:14" ht="42" x14ac:dyDescent="0.3">
      <c r="A47" s="9" t="s">
        <v>1510</v>
      </c>
      <c r="B47" s="10" t="s">
        <v>135</v>
      </c>
      <c r="C47" s="10" t="s">
        <v>1706</v>
      </c>
      <c r="D47" s="10">
        <v>5</v>
      </c>
      <c r="E47" s="10" t="s">
        <v>8</v>
      </c>
      <c r="F47" s="10" t="s">
        <v>1707</v>
      </c>
      <c r="G47" s="10" t="s">
        <v>1708</v>
      </c>
      <c r="H47" s="10" t="s">
        <v>1743</v>
      </c>
      <c r="I47" s="10" t="s">
        <v>54</v>
      </c>
      <c r="J47" s="10" t="s">
        <v>1744</v>
      </c>
      <c r="K47" s="10" t="s">
        <v>13</v>
      </c>
      <c r="L47" s="22" t="s">
        <v>1985</v>
      </c>
      <c r="M47" s="10" t="s">
        <v>137</v>
      </c>
      <c r="N47" s="17"/>
    </row>
    <row r="48" spans="1:14" ht="70" x14ac:dyDescent="0.3">
      <c r="A48" s="9" t="s">
        <v>1511</v>
      </c>
      <c r="B48" s="10" t="s">
        <v>135</v>
      </c>
      <c r="C48" s="10" t="s">
        <v>1745</v>
      </c>
      <c r="D48" s="10">
        <v>5</v>
      </c>
      <c r="E48" s="10" t="s">
        <v>8</v>
      </c>
      <c r="F48" s="10" t="s">
        <v>1746</v>
      </c>
      <c r="G48" s="10" t="s">
        <v>774</v>
      </c>
      <c r="H48" s="10" t="s">
        <v>1789</v>
      </c>
      <c r="I48" s="10" t="s">
        <v>1747</v>
      </c>
      <c r="J48" s="10" t="s">
        <v>1790</v>
      </c>
      <c r="K48" s="10" t="s">
        <v>10</v>
      </c>
      <c r="L48" s="17" t="s">
        <v>1983</v>
      </c>
      <c r="M48" s="11" t="s">
        <v>137</v>
      </c>
      <c r="N48" s="19"/>
    </row>
    <row r="49" spans="1:14" ht="42" x14ac:dyDescent="0.3">
      <c r="A49" s="9" t="s">
        <v>1512</v>
      </c>
      <c r="B49" s="10" t="s">
        <v>135</v>
      </c>
      <c r="C49" s="10" t="s">
        <v>1748</v>
      </c>
      <c r="D49" s="10">
        <v>4</v>
      </c>
      <c r="E49" s="10" t="s">
        <v>19</v>
      </c>
      <c r="F49" s="10" t="s">
        <v>1746</v>
      </c>
      <c r="G49" s="10" t="s">
        <v>1749</v>
      </c>
      <c r="H49" s="10" t="s">
        <v>1791</v>
      </c>
      <c r="I49" s="10" t="s">
        <v>54</v>
      </c>
      <c r="J49" s="10" t="s">
        <v>1792</v>
      </c>
      <c r="K49" s="10" t="s">
        <v>10</v>
      </c>
      <c r="L49" s="22" t="s">
        <v>1985</v>
      </c>
      <c r="M49" s="11" t="s">
        <v>137</v>
      </c>
      <c r="N49" s="17"/>
    </row>
    <row r="50" spans="1:14" ht="42" x14ac:dyDescent="0.3">
      <c r="A50" s="9" t="s">
        <v>1513</v>
      </c>
      <c r="B50" s="10" t="s">
        <v>135</v>
      </c>
      <c r="C50" s="10" t="s">
        <v>1750</v>
      </c>
      <c r="D50" s="10">
        <v>4</v>
      </c>
      <c r="E50" s="10" t="s">
        <v>8</v>
      </c>
      <c r="F50" s="10" t="s">
        <v>1746</v>
      </c>
      <c r="G50" s="10" t="s">
        <v>1751</v>
      </c>
      <c r="H50" s="10" t="s">
        <v>1795</v>
      </c>
      <c r="I50" s="10" t="s">
        <v>1752</v>
      </c>
      <c r="J50" s="10" t="s">
        <v>1793</v>
      </c>
      <c r="K50" s="10" t="s">
        <v>13</v>
      </c>
      <c r="L50" s="22" t="s">
        <v>1985</v>
      </c>
      <c r="M50" s="11" t="s">
        <v>137</v>
      </c>
      <c r="N50" s="17"/>
    </row>
    <row r="51" spans="1:14" ht="42" x14ac:dyDescent="0.3">
      <c r="A51" s="9" t="s">
        <v>1514</v>
      </c>
      <c r="B51" s="10" t="s">
        <v>135</v>
      </c>
      <c r="C51" s="10" t="s">
        <v>1753</v>
      </c>
      <c r="D51" s="10">
        <v>4</v>
      </c>
      <c r="E51" s="10" t="s">
        <v>8</v>
      </c>
      <c r="F51" s="10" t="s">
        <v>1746</v>
      </c>
      <c r="G51" s="10" t="s">
        <v>1754</v>
      </c>
      <c r="H51" s="10" t="s">
        <v>1794</v>
      </c>
      <c r="I51" s="10" t="s">
        <v>1755</v>
      </c>
      <c r="J51" s="10" t="s">
        <v>1796</v>
      </c>
      <c r="K51" s="10" t="s">
        <v>10</v>
      </c>
      <c r="L51" s="17" t="s">
        <v>1983</v>
      </c>
      <c r="M51" s="11" t="s">
        <v>137</v>
      </c>
      <c r="N51" s="19"/>
    </row>
    <row r="52" spans="1:14" ht="42" x14ac:dyDescent="0.3">
      <c r="A52" s="9" t="s">
        <v>1515</v>
      </c>
      <c r="B52" s="10" t="s">
        <v>135</v>
      </c>
      <c r="C52" s="10" t="s">
        <v>1756</v>
      </c>
      <c r="D52" s="10">
        <v>5</v>
      </c>
      <c r="E52" s="10" t="s">
        <v>8</v>
      </c>
      <c r="F52" s="10" t="s">
        <v>1746</v>
      </c>
      <c r="G52" s="10" t="s">
        <v>1757</v>
      </c>
      <c r="H52" s="10" t="s">
        <v>1797</v>
      </c>
      <c r="I52" s="10" t="s">
        <v>1663</v>
      </c>
      <c r="J52" s="10" t="s">
        <v>1798</v>
      </c>
      <c r="K52" s="10" t="s">
        <v>10</v>
      </c>
      <c r="L52" s="22" t="s">
        <v>1985</v>
      </c>
      <c r="M52" s="11" t="s">
        <v>137</v>
      </c>
      <c r="N52" s="17"/>
    </row>
    <row r="53" spans="1:14" ht="42" x14ac:dyDescent="0.3">
      <c r="A53" s="9" t="s">
        <v>1516</v>
      </c>
      <c r="B53" s="10" t="s">
        <v>135</v>
      </c>
      <c r="C53" s="10" t="s">
        <v>1758</v>
      </c>
      <c r="D53" s="10">
        <v>5</v>
      </c>
      <c r="E53" s="10" t="s">
        <v>8</v>
      </c>
      <c r="F53" s="10" t="s">
        <v>1746</v>
      </c>
      <c r="G53" s="10" t="s">
        <v>1759</v>
      </c>
      <c r="H53" s="10" t="s">
        <v>1799</v>
      </c>
      <c r="I53" s="10" t="s">
        <v>1178</v>
      </c>
      <c r="J53" s="10" t="s">
        <v>1800</v>
      </c>
      <c r="K53" s="10" t="s">
        <v>10</v>
      </c>
      <c r="L53" s="22" t="s">
        <v>1985</v>
      </c>
      <c r="M53" s="11" t="s">
        <v>137</v>
      </c>
      <c r="N53" s="17"/>
    </row>
    <row r="54" spans="1:14" ht="28" x14ac:dyDescent="0.3">
      <c r="A54" s="9" t="s">
        <v>1517</v>
      </c>
      <c r="B54" s="10" t="s">
        <v>135</v>
      </c>
      <c r="C54" s="10" t="s">
        <v>1760</v>
      </c>
      <c r="D54" s="10">
        <v>4</v>
      </c>
      <c r="E54" s="10" t="s">
        <v>19</v>
      </c>
      <c r="F54" s="10" t="s">
        <v>1746</v>
      </c>
      <c r="G54" s="10" t="s">
        <v>1761</v>
      </c>
      <c r="H54" s="10" t="s">
        <v>1801</v>
      </c>
      <c r="I54" s="10" t="s">
        <v>54</v>
      </c>
      <c r="J54" s="10" t="s">
        <v>1802</v>
      </c>
      <c r="K54" s="10" t="s">
        <v>13</v>
      </c>
      <c r="L54" s="22" t="s">
        <v>1985</v>
      </c>
      <c r="M54" s="11" t="s">
        <v>137</v>
      </c>
      <c r="N54" s="19"/>
    </row>
    <row r="55" spans="1:14" ht="42" x14ac:dyDescent="0.3">
      <c r="A55" s="9" t="s">
        <v>1518</v>
      </c>
      <c r="B55" s="10" t="s">
        <v>135</v>
      </c>
      <c r="C55" s="10" t="s">
        <v>1762</v>
      </c>
      <c r="D55" s="10">
        <v>4</v>
      </c>
      <c r="E55" s="10" t="s">
        <v>19</v>
      </c>
      <c r="F55" s="10" t="s">
        <v>1746</v>
      </c>
      <c r="G55" s="10" t="s">
        <v>1763</v>
      </c>
      <c r="H55" s="10" t="s">
        <v>1803</v>
      </c>
      <c r="I55" s="10" t="s">
        <v>54</v>
      </c>
      <c r="J55" s="10" t="s">
        <v>1804</v>
      </c>
      <c r="K55" s="10" t="s">
        <v>10</v>
      </c>
      <c r="L55" s="22" t="s">
        <v>1985</v>
      </c>
      <c r="M55" s="11" t="s">
        <v>137</v>
      </c>
      <c r="N55" s="17"/>
    </row>
    <row r="56" spans="1:14" ht="42" x14ac:dyDescent="0.3">
      <c r="A56" s="9" t="s">
        <v>1519</v>
      </c>
      <c r="B56" s="10" t="s">
        <v>135</v>
      </c>
      <c r="C56" s="10" t="s">
        <v>1764</v>
      </c>
      <c r="D56" s="10">
        <v>4</v>
      </c>
      <c r="E56" s="10" t="s">
        <v>8</v>
      </c>
      <c r="F56" s="10" t="s">
        <v>1746</v>
      </c>
      <c r="G56" s="10" t="s">
        <v>1765</v>
      </c>
      <c r="H56" s="10" t="s">
        <v>1805</v>
      </c>
      <c r="I56" s="10" t="s">
        <v>1669</v>
      </c>
      <c r="J56" s="10" t="s">
        <v>1806</v>
      </c>
      <c r="K56" s="10" t="s">
        <v>10</v>
      </c>
      <c r="L56" s="22" t="s">
        <v>1985</v>
      </c>
      <c r="M56" s="11" t="s">
        <v>137</v>
      </c>
      <c r="N56" s="17"/>
    </row>
    <row r="57" spans="1:14" ht="28" x14ac:dyDescent="0.3">
      <c r="A57" s="9" t="s">
        <v>1520</v>
      </c>
      <c r="B57" s="10" t="s">
        <v>135</v>
      </c>
      <c r="C57" s="10" t="s">
        <v>1766</v>
      </c>
      <c r="D57" s="10">
        <v>4</v>
      </c>
      <c r="E57" s="10" t="s">
        <v>19</v>
      </c>
      <c r="F57" s="10" t="s">
        <v>1746</v>
      </c>
      <c r="G57" s="10" t="s">
        <v>1767</v>
      </c>
      <c r="H57" s="10" t="s">
        <v>1807</v>
      </c>
      <c r="I57" s="10" t="s">
        <v>54</v>
      </c>
      <c r="J57" s="10" t="s">
        <v>1808</v>
      </c>
      <c r="K57" s="10" t="s">
        <v>10</v>
      </c>
      <c r="L57" s="22" t="s">
        <v>1985</v>
      </c>
      <c r="M57" s="11" t="s">
        <v>137</v>
      </c>
      <c r="N57" s="19"/>
    </row>
    <row r="58" spans="1:14" ht="42" x14ac:dyDescent="0.3">
      <c r="A58" s="9" t="s">
        <v>1521</v>
      </c>
      <c r="B58" s="10" t="s">
        <v>135</v>
      </c>
      <c r="C58" s="10" t="s">
        <v>1768</v>
      </c>
      <c r="D58" s="10">
        <v>4</v>
      </c>
      <c r="E58" s="10" t="s">
        <v>8</v>
      </c>
      <c r="F58" s="10" t="s">
        <v>1746</v>
      </c>
      <c r="G58" s="10" t="s">
        <v>1769</v>
      </c>
      <c r="H58" s="10" t="s">
        <v>1725</v>
      </c>
      <c r="I58" s="10" t="s">
        <v>1672</v>
      </c>
      <c r="J58" s="10" t="s">
        <v>1809</v>
      </c>
      <c r="K58" s="10" t="s">
        <v>10</v>
      </c>
      <c r="L58" s="22" t="s">
        <v>1985</v>
      </c>
      <c r="M58" s="11" t="s">
        <v>137</v>
      </c>
      <c r="N58" s="17"/>
    </row>
    <row r="59" spans="1:14" ht="42" x14ac:dyDescent="0.3">
      <c r="A59" s="9" t="s">
        <v>1522</v>
      </c>
      <c r="B59" s="10" t="s">
        <v>135</v>
      </c>
      <c r="C59" s="10" t="s">
        <v>1770</v>
      </c>
      <c r="D59" s="10">
        <v>4</v>
      </c>
      <c r="E59" s="10" t="s">
        <v>19</v>
      </c>
      <c r="F59" s="10" t="s">
        <v>1746</v>
      </c>
      <c r="G59" s="10" t="s">
        <v>1771</v>
      </c>
      <c r="H59" s="10" t="s">
        <v>1810</v>
      </c>
      <c r="I59" s="10" t="s">
        <v>54</v>
      </c>
      <c r="J59" s="10" t="s">
        <v>1772</v>
      </c>
      <c r="K59" s="10" t="s">
        <v>10</v>
      </c>
      <c r="L59" s="22" t="s">
        <v>1985</v>
      </c>
      <c r="M59" s="11" t="s">
        <v>137</v>
      </c>
      <c r="N59" s="17"/>
    </row>
    <row r="60" spans="1:14" ht="42" x14ac:dyDescent="0.3">
      <c r="A60" s="9" t="s">
        <v>1523</v>
      </c>
      <c r="B60" s="10" t="s">
        <v>135</v>
      </c>
      <c r="C60" s="10" t="s">
        <v>1773</v>
      </c>
      <c r="D60" s="10">
        <v>5</v>
      </c>
      <c r="E60" s="10" t="s">
        <v>8</v>
      </c>
      <c r="F60" s="10" t="s">
        <v>1746</v>
      </c>
      <c r="G60" s="10" t="s">
        <v>1774</v>
      </c>
      <c r="H60" s="10" t="s">
        <v>1811</v>
      </c>
      <c r="I60" s="10" t="s">
        <v>1656</v>
      </c>
      <c r="J60" s="10" t="s">
        <v>1812</v>
      </c>
      <c r="K60" s="10" t="s">
        <v>10</v>
      </c>
      <c r="L60" s="22" t="s">
        <v>1985</v>
      </c>
      <c r="M60" s="11" t="s">
        <v>137</v>
      </c>
      <c r="N60" s="17"/>
    </row>
    <row r="61" spans="1:14" ht="42" x14ac:dyDescent="0.3">
      <c r="A61" s="9" t="s">
        <v>1524</v>
      </c>
      <c r="B61" s="10" t="s">
        <v>135</v>
      </c>
      <c r="C61" s="10" t="s">
        <v>1775</v>
      </c>
      <c r="D61" s="10">
        <v>4</v>
      </c>
      <c r="E61" s="10" t="s">
        <v>19</v>
      </c>
      <c r="F61" s="10" t="s">
        <v>1746</v>
      </c>
      <c r="G61" s="10" t="s">
        <v>1776</v>
      </c>
      <c r="H61" s="10" t="s">
        <v>1813</v>
      </c>
      <c r="I61" s="10" t="s">
        <v>54</v>
      </c>
      <c r="J61" s="10" t="s">
        <v>1814</v>
      </c>
      <c r="K61" s="10" t="s">
        <v>10</v>
      </c>
      <c r="L61" s="22" t="s">
        <v>1985</v>
      </c>
      <c r="M61" s="11" t="s">
        <v>137</v>
      </c>
      <c r="N61" s="17"/>
    </row>
    <row r="62" spans="1:14" ht="28" x14ac:dyDescent="0.3">
      <c r="A62" s="9" t="s">
        <v>1525</v>
      </c>
      <c r="B62" s="10" t="s">
        <v>135</v>
      </c>
      <c r="C62" s="10" t="s">
        <v>1777</v>
      </c>
      <c r="D62" s="10">
        <v>4</v>
      </c>
      <c r="E62" s="10" t="s">
        <v>8</v>
      </c>
      <c r="F62" s="10" t="s">
        <v>1746</v>
      </c>
      <c r="G62" s="10" t="s">
        <v>1778</v>
      </c>
      <c r="H62" s="10" t="s">
        <v>1815</v>
      </c>
      <c r="I62" s="10" t="s">
        <v>54</v>
      </c>
      <c r="J62" s="10" t="s">
        <v>1816</v>
      </c>
      <c r="K62" s="10" t="s">
        <v>10</v>
      </c>
      <c r="L62" s="22" t="s">
        <v>1985</v>
      </c>
      <c r="M62" s="11" t="s">
        <v>137</v>
      </c>
      <c r="N62" s="17"/>
    </row>
    <row r="63" spans="1:14" ht="28" x14ac:dyDescent="0.3">
      <c r="A63" s="9" t="s">
        <v>1526</v>
      </c>
      <c r="B63" s="10" t="s">
        <v>135</v>
      </c>
      <c r="C63" s="10" t="s">
        <v>1779</v>
      </c>
      <c r="D63" s="10">
        <v>4</v>
      </c>
      <c r="E63" s="10" t="s">
        <v>8</v>
      </c>
      <c r="F63" s="10" t="s">
        <v>1746</v>
      </c>
      <c r="G63" s="10" t="s">
        <v>1780</v>
      </c>
      <c r="H63" s="10" t="s">
        <v>1817</v>
      </c>
      <c r="I63" s="10" t="s">
        <v>54</v>
      </c>
      <c r="J63" s="10" t="s">
        <v>1818</v>
      </c>
      <c r="K63" s="10" t="s">
        <v>10</v>
      </c>
      <c r="L63" s="22" t="s">
        <v>1985</v>
      </c>
      <c r="M63" s="11" t="s">
        <v>137</v>
      </c>
      <c r="N63" s="17"/>
    </row>
    <row r="64" spans="1:14" ht="28" x14ac:dyDescent="0.3">
      <c r="A64" s="9" t="s">
        <v>1527</v>
      </c>
      <c r="B64" s="10" t="s">
        <v>135</v>
      </c>
      <c r="C64" s="10" t="s">
        <v>1781</v>
      </c>
      <c r="D64" s="10">
        <v>4</v>
      </c>
      <c r="E64" s="10" t="s">
        <v>8</v>
      </c>
      <c r="F64" s="10" t="s">
        <v>1746</v>
      </c>
      <c r="G64" s="10" t="s">
        <v>1782</v>
      </c>
      <c r="H64" s="10" t="s">
        <v>1819</v>
      </c>
      <c r="I64" s="10" t="s">
        <v>54</v>
      </c>
      <c r="J64" s="10" t="s">
        <v>1820</v>
      </c>
      <c r="K64" s="10" t="s">
        <v>10</v>
      </c>
      <c r="L64" s="22" t="s">
        <v>1985</v>
      </c>
      <c r="M64" s="11" t="s">
        <v>137</v>
      </c>
      <c r="N64" s="17"/>
    </row>
    <row r="65" spans="1:14" ht="28" x14ac:dyDescent="0.3">
      <c r="A65" s="9" t="s">
        <v>1528</v>
      </c>
      <c r="B65" s="10" t="s">
        <v>135</v>
      </c>
      <c r="C65" s="10" t="s">
        <v>1783</v>
      </c>
      <c r="D65" s="10">
        <v>4</v>
      </c>
      <c r="E65" s="10" t="s">
        <v>19</v>
      </c>
      <c r="F65" s="10" t="s">
        <v>1746</v>
      </c>
      <c r="G65" s="10" t="s">
        <v>634</v>
      </c>
      <c r="H65" s="10" t="s">
        <v>1821</v>
      </c>
      <c r="I65" s="10" t="s">
        <v>54</v>
      </c>
      <c r="J65" s="10" t="s">
        <v>1822</v>
      </c>
      <c r="K65" s="10" t="s">
        <v>13</v>
      </c>
      <c r="L65" s="22" t="s">
        <v>1985</v>
      </c>
      <c r="M65" s="11" t="s">
        <v>137</v>
      </c>
      <c r="N65" s="17"/>
    </row>
    <row r="66" spans="1:14" ht="28" x14ac:dyDescent="0.3">
      <c r="A66" s="9" t="s">
        <v>1529</v>
      </c>
      <c r="B66" s="10" t="s">
        <v>135</v>
      </c>
      <c r="C66" s="10" t="s">
        <v>1784</v>
      </c>
      <c r="D66" s="10">
        <v>4</v>
      </c>
      <c r="E66" s="10" t="s">
        <v>19</v>
      </c>
      <c r="F66" s="10" t="s">
        <v>1746</v>
      </c>
      <c r="G66" s="10" t="s">
        <v>1785</v>
      </c>
      <c r="H66" s="10" t="s">
        <v>1786</v>
      </c>
      <c r="I66" s="10" t="s">
        <v>54</v>
      </c>
      <c r="J66" s="10" t="s">
        <v>1787</v>
      </c>
      <c r="K66" s="10" t="s">
        <v>10</v>
      </c>
      <c r="L66" s="22" t="s">
        <v>1985</v>
      </c>
      <c r="M66" s="11" t="s">
        <v>137</v>
      </c>
      <c r="N66" s="17"/>
    </row>
    <row r="67" spans="1:14" ht="70" x14ac:dyDescent="0.3">
      <c r="A67" s="9" t="s">
        <v>1530</v>
      </c>
      <c r="B67" s="10" t="s">
        <v>135</v>
      </c>
      <c r="C67" s="10" t="s">
        <v>321</v>
      </c>
      <c r="D67" s="10">
        <v>5</v>
      </c>
      <c r="E67" s="10" t="s">
        <v>322</v>
      </c>
      <c r="F67" s="10" t="s">
        <v>1746</v>
      </c>
      <c r="G67" s="10" t="s">
        <v>1788</v>
      </c>
      <c r="H67" s="10" t="s">
        <v>1823</v>
      </c>
      <c r="I67" s="10" t="s">
        <v>54</v>
      </c>
      <c r="J67" s="10" t="s">
        <v>1824</v>
      </c>
      <c r="K67" s="10" t="s">
        <v>10</v>
      </c>
      <c r="L67" s="22" t="s">
        <v>1985</v>
      </c>
      <c r="M67" s="11" t="s">
        <v>137</v>
      </c>
      <c r="N67" s="17"/>
    </row>
    <row r="68" spans="1:14" ht="56" x14ac:dyDescent="0.3">
      <c r="A68" s="9" t="s">
        <v>1531</v>
      </c>
      <c r="B68" s="10" t="s">
        <v>135</v>
      </c>
      <c r="C68" s="10" t="s">
        <v>1825</v>
      </c>
      <c r="D68" s="10">
        <v>5</v>
      </c>
      <c r="E68" s="10" t="s">
        <v>8</v>
      </c>
      <c r="F68" s="10" t="s">
        <v>411</v>
      </c>
      <c r="G68" s="10" t="s">
        <v>1826</v>
      </c>
      <c r="H68" s="10" t="s">
        <v>1877</v>
      </c>
      <c r="I68" s="10" t="s">
        <v>1827</v>
      </c>
      <c r="J68" s="10" t="s">
        <v>1878</v>
      </c>
      <c r="K68" s="10" t="s">
        <v>10</v>
      </c>
      <c r="L68" s="17" t="s">
        <v>1983</v>
      </c>
      <c r="M68" s="11" t="s">
        <v>137</v>
      </c>
      <c r="N68" s="19"/>
    </row>
    <row r="69" spans="1:14" ht="42" x14ac:dyDescent="0.3">
      <c r="A69" s="9" t="s">
        <v>1532</v>
      </c>
      <c r="B69" s="10" t="s">
        <v>135</v>
      </c>
      <c r="C69" s="10" t="s">
        <v>1828</v>
      </c>
      <c r="D69" s="10">
        <v>6</v>
      </c>
      <c r="E69" s="10" t="s">
        <v>8</v>
      </c>
      <c r="F69" s="10" t="s">
        <v>411</v>
      </c>
      <c r="G69" s="10" t="s">
        <v>1829</v>
      </c>
      <c r="H69" s="10" t="s">
        <v>1879</v>
      </c>
      <c r="I69" s="10" t="s">
        <v>1830</v>
      </c>
      <c r="J69" s="10" t="s">
        <v>1880</v>
      </c>
      <c r="K69" s="10" t="s">
        <v>13</v>
      </c>
      <c r="L69" s="17" t="s">
        <v>1983</v>
      </c>
      <c r="M69" s="11" t="s">
        <v>137</v>
      </c>
      <c r="N69" s="19"/>
    </row>
    <row r="70" spans="1:14" ht="56" x14ac:dyDescent="0.3">
      <c r="A70" s="9" t="s">
        <v>1533</v>
      </c>
      <c r="B70" s="10" t="s">
        <v>135</v>
      </c>
      <c r="C70" s="10" t="s">
        <v>1831</v>
      </c>
      <c r="D70" s="10">
        <v>5</v>
      </c>
      <c r="E70" s="10" t="s">
        <v>8</v>
      </c>
      <c r="F70" s="10" t="s">
        <v>411</v>
      </c>
      <c r="G70" s="10" t="s">
        <v>1832</v>
      </c>
      <c r="H70" s="10" t="s">
        <v>1881</v>
      </c>
      <c r="I70" s="10" t="s">
        <v>1833</v>
      </c>
      <c r="J70" s="10" t="s">
        <v>1882</v>
      </c>
      <c r="K70" s="10" t="s">
        <v>13</v>
      </c>
      <c r="L70" s="17" t="s">
        <v>1983</v>
      </c>
      <c r="M70" s="11" t="s">
        <v>137</v>
      </c>
      <c r="N70" s="19"/>
    </row>
    <row r="71" spans="1:14" ht="28" x14ac:dyDescent="0.3">
      <c r="A71" s="9" t="s">
        <v>1534</v>
      </c>
      <c r="B71" s="10" t="s">
        <v>135</v>
      </c>
      <c r="C71" s="10" t="s">
        <v>1834</v>
      </c>
      <c r="D71" s="10">
        <v>6</v>
      </c>
      <c r="E71" s="10" t="s">
        <v>20</v>
      </c>
      <c r="F71" s="10" t="s">
        <v>411</v>
      </c>
      <c r="G71" s="10" t="s">
        <v>1835</v>
      </c>
      <c r="H71" s="10" t="s">
        <v>1836</v>
      </c>
      <c r="I71" s="10" t="s">
        <v>54</v>
      </c>
      <c r="J71" s="10" t="s">
        <v>1837</v>
      </c>
      <c r="K71" s="10" t="s">
        <v>10</v>
      </c>
      <c r="L71" s="17" t="s">
        <v>1983</v>
      </c>
      <c r="M71" s="11" t="s">
        <v>137</v>
      </c>
      <c r="N71" s="19"/>
    </row>
    <row r="72" spans="1:14" ht="42" x14ac:dyDescent="0.3">
      <c r="A72" s="9" t="s">
        <v>1535</v>
      </c>
      <c r="B72" s="10" t="s">
        <v>135</v>
      </c>
      <c r="C72" s="10" t="s">
        <v>1838</v>
      </c>
      <c r="D72" s="10">
        <v>5</v>
      </c>
      <c r="E72" s="10" t="s">
        <v>8</v>
      </c>
      <c r="F72" s="10" t="s">
        <v>400</v>
      </c>
      <c r="G72" s="10" t="s">
        <v>1839</v>
      </c>
      <c r="H72" s="10" t="s">
        <v>1883</v>
      </c>
      <c r="I72" s="10" t="s">
        <v>1840</v>
      </c>
      <c r="J72" s="10" t="s">
        <v>1884</v>
      </c>
      <c r="K72" s="10" t="s">
        <v>13</v>
      </c>
      <c r="L72" s="17" t="s">
        <v>1983</v>
      </c>
      <c r="M72" s="11" t="s">
        <v>137</v>
      </c>
      <c r="N72" s="19"/>
    </row>
    <row r="73" spans="1:14" ht="42" x14ac:dyDescent="0.3">
      <c r="A73" s="9" t="s">
        <v>1536</v>
      </c>
      <c r="B73" s="10" t="s">
        <v>135</v>
      </c>
      <c r="C73" s="10" t="s">
        <v>1841</v>
      </c>
      <c r="D73" s="10">
        <v>5</v>
      </c>
      <c r="E73" s="10" t="s">
        <v>8</v>
      </c>
      <c r="F73" s="10" t="s">
        <v>853</v>
      </c>
      <c r="G73" s="10" t="s">
        <v>1842</v>
      </c>
      <c r="H73" s="10" t="s">
        <v>1885</v>
      </c>
      <c r="I73" s="10" t="s">
        <v>1843</v>
      </c>
      <c r="J73" s="10" t="s">
        <v>1886</v>
      </c>
      <c r="K73" s="10" t="s">
        <v>13</v>
      </c>
      <c r="L73" s="17" t="s">
        <v>1983</v>
      </c>
      <c r="M73" s="11" t="s">
        <v>137</v>
      </c>
      <c r="N73" s="19"/>
    </row>
    <row r="74" spans="1:14" ht="42" x14ac:dyDescent="0.3">
      <c r="A74" s="9" t="s">
        <v>1537</v>
      </c>
      <c r="B74" s="10" t="s">
        <v>135</v>
      </c>
      <c r="C74" s="10" t="s">
        <v>1844</v>
      </c>
      <c r="D74" s="10">
        <v>6</v>
      </c>
      <c r="E74" s="10" t="s">
        <v>8</v>
      </c>
      <c r="F74" s="10" t="s">
        <v>853</v>
      </c>
      <c r="G74" s="10" t="s">
        <v>1845</v>
      </c>
      <c r="H74" s="10" t="s">
        <v>1887</v>
      </c>
      <c r="I74" s="10" t="s">
        <v>1846</v>
      </c>
      <c r="J74" s="10" t="s">
        <v>1888</v>
      </c>
      <c r="K74" s="10" t="s">
        <v>13</v>
      </c>
      <c r="L74" s="17" t="s">
        <v>1983</v>
      </c>
      <c r="M74" s="11" t="s">
        <v>137</v>
      </c>
      <c r="N74" s="19"/>
    </row>
    <row r="75" spans="1:14" ht="42" x14ac:dyDescent="0.3">
      <c r="A75" s="9" t="s">
        <v>1538</v>
      </c>
      <c r="B75" s="10" t="s">
        <v>135</v>
      </c>
      <c r="C75" s="10" t="s">
        <v>1847</v>
      </c>
      <c r="D75" s="10">
        <v>7</v>
      </c>
      <c r="E75" s="10" t="s">
        <v>20</v>
      </c>
      <c r="F75" s="10" t="s">
        <v>853</v>
      </c>
      <c r="G75" s="10" t="s">
        <v>1848</v>
      </c>
      <c r="H75" s="10" t="s">
        <v>1889</v>
      </c>
      <c r="I75" s="10" t="s">
        <v>1849</v>
      </c>
      <c r="J75" s="10" t="s">
        <v>1890</v>
      </c>
      <c r="K75" s="10" t="s">
        <v>13</v>
      </c>
      <c r="L75" s="17" t="s">
        <v>1983</v>
      </c>
      <c r="M75" s="11" t="s">
        <v>137</v>
      </c>
      <c r="N75" s="19"/>
    </row>
    <row r="76" spans="1:14" ht="42" x14ac:dyDescent="0.3">
      <c r="A76" s="9" t="s">
        <v>1539</v>
      </c>
      <c r="B76" s="10" t="s">
        <v>135</v>
      </c>
      <c r="C76" s="10" t="s">
        <v>1850</v>
      </c>
      <c r="D76" s="10">
        <v>7</v>
      </c>
      <c r="E76" s="10" t="s">
        <v>8</v>
      </c>
      <c r="F76" s="10" t="s">
        <v>1851</v>
      </c>
      <c r="G76" s="10" t="s">
        <v>1852</v>
      </c>
      <c r="H76" s="10" t="s">
        <v>1891</v>
      </c>
      <c r="I76" s="10" t="s">
        <v>1853</v>
      </c>
      <c r="J76" s="10" t="s">
        <v>1892</v>
      </c>
      <c r="K76" s="10" t="s">
        <v>13</v>
      </c>
      <c r="L76" s="17" t="s">
        <v>1983</v>
      </c>
      <c r="M76" s="11" t="s">
        <v>137</v>
      </c>
      <c r="N76" s="19"/>
    </row>
    <row r="77" spans="1:14" ht="42" x14ac:dyDescent="0.3">
      <c r="A77" s="9" t="s">
        <v>1540</v>
      </c>
      <c r="B77" s="10" t="s">
        <v>135</v>
      </c>
      <c r="C77" s="10" t="s">
        <v>1854</v>
      </c>
      <c r="D77" s="10">
        <v>5</v>
      </c>
      <c r="E77" s="10" t="s">
        <v>8</v>
      </c>
      <c r="F77" s="10" t="s">
        <v>1851</v>
      </c>
      <c r="G77" s="10" t="s">
        <v>1855</v>
      </c>
      <c r="H77" s="10" t="s">
        <v>1893</v>
      </c>
      <c r="I77" s="10" t="s">
        <v>54</v>
      </c>
      <c r="J77" s="10" t="s">
        <v>1894</v>
      </c>
      <c r="K77" s="10" t="s">
        <v>13</v>
      </c>
      <c r="L77" s="17" t="s">
        <v>1983</v>
      </c>
      <c r="M77" s="11" t="s">
        <v>137</v>
      </c>
      <c r="N77" s="19"/>
    </row>
    <row r="78" spans="1:14" ht="42" x14ac:dyDescent="0.3">
      <c r="A78" s="9" t="s">
        <v>1541</v>
      </c>
      <c r="B78" s="10" t="s">
        <v>135</v>
      </c>
      <c r="C78" s="10" t="s">
        <v>1856</v>
      </c>
      <c r="D78" s="10">
        <v>6</v>
      </c>
      <c r="E78" s="10" t="s">
        <v>483</v>
      </c>
      <c r="F78" s="10" t="s">
        <v>1851</v>
      </c>
      <c r="G78" s="10" t="s">
        <v>480</v>
      </c>
      <c r="H78" s="10" t="s">
        <v>1895</v>
      </c>
      <c r="I78" s="10" t="s">
        <v>54</v>
      </c>
      <c r="J78" s="10" t="s">
        <v>1896</v>
      </c>
      <c r="K78" s="10" t="s">
        <v>10</v>
      </c>
      <c r="L78" s="17" t="s">
        <v>1983</v>
      </c>
      <c r="M78" s="11" t="s">
        <v>137</v>
      </c>
      <c r="N78" s="19"/>
    </row>
    <row r="79" spans="1:14" ht="42" x14ac:dyDescent="0.3">
      <c r="A79" s="9" t="s">
        <v>1542</v>
      </c>
      <c r="B79" s="10" t="s">
        <v>135</v>
      </c>
      <c r="C79" s="10" t="s">
        <v>1857</v>
      </c>
      <c r="D79" s="10">
        <v>5</v>
      </c>
      <c r="E79" s="10" t="s">
        <v>8</v>
      </c>
      <c r="F79" s="10" t="s">
        <v>1858</v>
      </c>
      <c r="G79" s="10" t="s">
        <v>1859</v>
      </c>
      <c r="H79" s="10" t="s">
        <v>1898</v>
      </c>
      <c r="I79" s="10" t="s">
        <v>54</v>
      </c>
      <c r="J79" s="10" t="s">
        <v>1897</v>
      </c>
      <c r="K79" s="10" t="s">
        <v>13</v>
      </c>
      <c r="L79" s="17" t="s">
        <v>1983</v>
      </c>
      <c r="M79" s="11" t="s">
        <v>137</v>
      </c>
      <c r="N79" s="19"/>
    </row>
    <row r="80" spans="1:14" ht="42" x14ac:dyDescent="0.3">
      <c r="A80" s="9" t="s">
        <v>1543</v>
      </c>
      <c r="B80" s="10" t="s">
        <v>135</v>
      </c>
      <c r="C80" s="10" t="s">
        <v>1860</v>
      </c>
      <c r="D80" s="10">
        <v>5</v>
      </c>
      <c r="E80" s="10" t="s">
        <v>8</v>
      </c>
      <c r="F80" s="10" t="s">
        <v>1858</v>
      </c>
      <c r="G80" s="10" t="s">
        <v>1861</v>
      </c>
      <c r="H80" s="10" t="s">
        <v>1899</v>
      </c>
      <c r="I80" s="10" t="s">
        <v>54</v>
      </c>
      <c r="J80" s="10" t="s">
        <v>1900</v>
      </c>
      <c r="K80" s="10" t="s">
        <v>13</v>
      </c>
      <c r="L80" s="17" t="s">
        <v>1983</v>
      </c>
      <c r="M80" s="11" t="s">
        <v>137</v>
      </c>
      <c r="N80" s="19"/>
    </row>
    <row r="81" spans="1:14" ht="42" x14ac:dyDescent="0.3">
      <c r="A81" s="9" t="s">
        <v>1544</v>
      </c>
      <c r="B81" s="10" t="s">
        <v>135</v>
      </c>
      <c r="C81" s="10" t="s">
        <v>1862</v>
      </c>
      <c r="D81" s="10">
        <v>5</v>
      </c>
      <c r="E81" s="10" t="s">
        <v>19</v>
      </c>
      <c r="F81" s="10" t="s">
        <v>1858</v>
      </c>
      <c r="G81" s="10" t="s">
        <v>1863</v>
      </c>
      <c r="H81" s="10" t="s">
        <v>1901</v>
      </c>
      <c r="I81" s="10" t="s">
        <v>54</v>
      </c>
      <c r="J81" s="10" t="s">
        <v>1902</v>
      </c>
      <c r="K81" s="10" t="s">
        <v>10</v>
      </c>
      <c r="L81" s="17" t="s">
        <v>1983</v>
      </c>
      <c r="M81" s="11" t="s">
        <v>137</v>
      </c>
      <c r="N81" s="19"/>
    </row>
    <row r="82" spans="1:14" ht="42" x14ac:dyDescent="0.3">
      <c r="A82" s="9" t="s">
        <v>1545</v>
      </c>
      <c r="B82" s="10" t="s">
        <v>135</v>
      </c>
      <c r="C82" s="10" t="s">
        <v>1864</v>
      </c>
      <c r="D82" s="10">
        <v>5</v>
      </c>
      <c r="E82" s="10" t="s">
        <v>8</v>
      </c>
      <c r="F82" s="10" t="s">
        <v>1858</v>
      </c>
      <c r="G82" s="10" t="s">
        <v>1865</v>
      </c>
      <c r="H82" s="10" t="s">
        <v>1903</v>
      </c>
      <c r="I82" s="10" t="s">
        <v>54</v>
      </c>
      <c r="J82" s="10" t="s">
        <v>1904</v>
      </c>
      <c r="K82" s="10" t="s">
        <v>13</v>
      </c>
      <c r="L82" s="17" t="s">
        <v>1983</v>
      </c>
      <c r="M82" s="11" t="s">
        <v>137</v>
      </c>
      <c r="N82" s="19"/>
    </row>
    <row r="83" spans="1:14" ht="28" x14ac:dyDescent="0.3">
      <c r="A83" s="9" t="s">
        <v>1546</v>
      </c>
      <c r="B83" s="10" t="s">
        <v>135</v>
      </c>
      <c r="C83" s="10" t="s">
        <v>1866</v>
      </c>
      <c r="D83" s="10">
        <v>5</v>
      </c>
      <c r="E83" s="10" t="s">
        <v>8</v>
      </c>
      <c r="F83" s="10" t="s">
        <v>1858</v>
      </c>
      <c r="G83" s="10" t="s">
        <v>1867</v>
      </c>
      <c r="H83" s="10" t="s">
        <v>1905</v>
      </c>
      <c r="I83" s="10" t="s">
        <v>54</v>
      </c>
      <c r="J83" s="10" t="s">
        <v>1906</v>
      </c>
      <c r="K83" s="10" t="s">
        <v>10</v>
      </c>
      <c r="L83" s="17" t="s">
        <v>1983</v>
      </c>
      <c r="M83" s="11" t="s">
        <v>137</v>
      </c>
      <c r="N83" s="19"/>
    </row>
    <row r="84" spans="1:14" ht="28" x14ac:dyDescent="0.3">
      <c r="A84" s="9" t="s">
        <v>1547</v>
      </c>
      <c r="B84" s="10" t="s">
        <v>135</v>
      </c>
      <c r="C84" s="10" t="s">
        <v>1868</v>
      </c>
      <c r="D84" s="10">
        <v>6</v>
      </c>
      <c r="E84" s="10" t="s">
        <v>8</v>
      </c>
      <c r="F84" s="10" t="s">
        <v>1869</v>
      </c>
      <c r="G84" s="10" t="s">
        <v>1870</v>
      </c>
      <c r="H84" s="10" t="s">
        <v>1907</v>
      </c>
      <c r="I84" s="10" t="s">
        <v>54</v>
      </c>
      <c r="J84" s="10" t="s">
        <v>1908</v>
      </c>
      <c r="K84" s="10" t="s">
        <v>10</v>
      </c>
      <c r="L84" s="22" t="s">
        <v>1985</v>
      </c>
      <c r="M84" s="11" t="s">
        <v>137</v>
      </c>
      <c r="N84" s="19"/>
    </row>
    <row r="85" spans="1:14" ht="28" x14ac:dyDescent="0.3">
      <c r="A85" s="9" t="s">
        <v>1548</v>
      </c>
      <c r="B85" s="10" t="s">
        <v>135</v>
      </c>
      <c r="C85" s="10" t="s">
        <v>1871</v>
      </c>
      <c r="D85" s="10">
        <v>6</v>
      </c>
      <c r="E85" s="10" t="s">
        <v>8</v>
      </c>
      <c r="F85" s="10" t="s">
        <v>1869</v>
      </c>
      <c r="G85" s="10" t="s">
        <v>1872</v>
      </c>
      <c r="H85" s="10" t="s">
        <v>1909</v>
      </c>
      <c r="I85" s="10" t="s">
        <v>54</v>
      </c>
      <c r="J85" s="10" t="s">
        <v>1910</v>
      </c>
      <c r="K85" s="10" t="s">
        <v>13</v>
      </c>
      <c r="L85" s="17" t="s">
        <v>1983</v>
      </c>
      <c r="M85" s="11" t="s">
        <v>137</v>
      </c>
      <c r="N85" s="19"/>
    </row>
    <row r="86" spans="1:14" ht="28" x14ac:dyDescent="0.3">
      <c r="A86" s="9" t="s">
        <v>1549</v>
      </c>
      <c r="B86" s="10" t="s">
        <v>135</v>
      </c>
      <c r="C86" s="10" t="s">
        <v>1873</v>
      </c>
      <c r="D86" s="10">
        <v>6</v>
      </c>
      <c r="E86" s="10" t="s">
        <v>20</v>
      </c>
      <c r="F86" s="10" t="s">
        <v>1869</v>
      </c>
      <c r="G86" s="10" t="s">
        <v>1874</v>
      </c>
      <c r="H86" s="10" t="s">
        <v>1911</v>
      </c>
      <c r="I86" s="10" t="s">
        <v>54</v>
      </c>
      <c r="J86" s="10" t="s">
        <v>1912</v>
      </c>
      <c r="K86" s="10" t="s">
        <v>13</v>
      </c>
      <c r="L86" s="17" t="s">
        <v>1983</v>
      </c>
      <c r="M86" s="11" t="s">
        <v>137</v>
      </c>
      <c r="N86" s="19"/>
    </row>
    <row r="87" spans="1:14" ht="28" x14ac:dyDescent="0.3">
      <c r="A87" s="9" t="s">
        <v>1550</v>
      </c>
      <c r="B87" s="10" t="s">
        <v>135</v>
      </c>
      <c r="C87" s="10" t="s">
        <v>1875</v>
      </c>
      <c r="D87" s="10">
        <v>8</v>
      </c>
      <c r="E87" s="10" t="s">
        <v>20</v>
      </c>
      <c r="F87" s="10" t="s">
        <v>411</v>
      </c>
      <c r="G87" s="10" t="s">
        <v>1876</v>
      </c>
      <c r="H87" s="10" t="s">
        <v>1913</v>
      </c>
      <c r="I87" s="10" t="s">
        <v>54</v>
      </c>
      <c r="J87" s="10" t="s">
        <v>1914</v>
      </c>
      <c r="K87" s="10" t="s">
        <v>10</v>
      </c>
      <c r="L87" s="17" t="s">
        <v>1983</v>
      </c>
      <c r="M87" s="11" t="s">
        <v>137</v>
      </c>
      <c r="N87" s="19"/>
    </row>
    <row r="88" spans="1:14" ht="70" x14ac:dyDescent="0.3">
      <c r="A88" s="9" t="s">
        <v>1551</v>
      </c>
      <c r="B88" s="10" t="s">
        <v>135</v>
      </c>
      <c r="C88" s="10" t="s">
        <v>1915</v>
      </c>
      <c r="D88" s="10">
        <v>5</v>
      </c>
      <c r="E88" s="10" t="s">
        <v>322</v>
      </c>
      <c r="F88" s="10" t="s">
        <v>322</v>
      </c>
      <c r="G88" s="10" t="s">
        <v>1916</v>
      </c>
      <c r="H88" s="10" t="s">
        <v>1948</v>
      </c>
      <c r="I88" s="10" t="s">
        <v>54</v>
      </c>
      <c r="J88" s="10" t="s">
        <v>1949</v>
      </c>
      <c r="K88" s="10" t="s">
        <v>13</v>
      </c>
      <c r="L88" s="17" t="s">
        <v>1983</v>
      </c>
      <c r="M88" s="11" t="s">
        <v>137</v>
      </c>
      <c r="N88" s="19"/>
    </row>
    <row r="89" spans="1:14" ht="56" x14ac:dyDescent="0.3">
      <c r="A89" s="9" t="s">
        <v>1552</v>
      </c>
      <c r="B89" s="10" t="s">
        <v>135</v>
      </c>
      <c r="C89" s="10" t="s">
        <v>1424</v>
      </c>
      <c r="D89" s="10">
        <v>6</v>
      </c>
      <c r="E89" s="10" t="s">
        <v>322</v>
      </c>
      <c r="F89" s="10" t="s">
        <v>1425</v>
      </c>
      <c r="G89" s="10" t="s">
        <v>634</v>
      </c>
      <c r="H89" s="10" t="s">
        <v>1950</v>
      </c>
      <c r="I89" s="10" t="s">
        <v>54</v>
      </c>
      <c r="J89" s="10" t="s">
        <v>1951</v>
      </c>
      <c r="K89" s="10" t="s">
        <v>13</v>
      </c>
      <c r="L89" s="17" t="s">
        <v>1983</v>
      </c>
      <c r="M89" s="11" t="s">
        <v>137</v>
      </c>
      <c r="N89" s="19"/>
    </row>
    <row r="90" spans="1:14" ht="42" x14ac:dyDescent="0.3">
      <c r="A90" s="9" t="s">
        <v>1553</v>
      </c>
      <c r="B90" s="10" t="s">
        <v>135</v>
      </c>
      <c r="C90" s="10" t="s">
        <v>1917</v>
      </c>
      <c r="D90" s="10">
        <v>8</v>
      </c>
      <c r="E90" s="10" t="s">
        <v>91</v>
      </c>
      <c r="F90" s="10" t="s">
        <v>458</v>
      </c>
      <c r="G90" s="10" t="s">
        <v>1918</v>
      </c>
      <c r="H90" s="10" t="s">
        <v>1952</v>
      </c>
      <c r="I90" s="10" t="s">
        <v>54</v>
      </c>
      <c r="J90" s="10" t="s">
        <v>1953</v>
      </c>
      <c r="K90" s="10" t="s">
        <v>10</v>
      </c>
      <c r="L90" s="22" t="s">
        <v>1985</v>
      </c>
      <c r="M90" s="11" t="s">
        <v>137</v>
      </c>
      <c r="N90" s="17"/>
    </row>
    <row r="91" spans="1:14" ht="42" x14ac:dyDescent="0.3">
      <c r="A91" s="9" t="s">
        <v>1554</v>
      </c>
      <c r="B91" s="10" t="s">
        <v>135</v>
      </c>
      <c r="C91" s="10" t="s">
        <v>1919</v>
      </c>
      <c r="D91" s="10">
        <v>5</v>
      </c>
      <c r="E91" s="10" t="s">
        <v>8</v>
      </c>
      <c r="F91" s="10" t="s">
        <v>462</v>
      </c>
      <c r="G91" s="10" t="s">
        <v>1920</v>
      </c>
      <c r="H91" s="10" t="s">
        <v>1954</v>
      </c>
      <c r="I91" s="10" t="s">
        <v>54</v>
      </c>
      <c r="J91" s="10" t="s">
        <v>1955</v>
      </c>
      <c r="K91" s="10" t="s">
        <v>13</v>
      </c>
      <c r="L91" s="17" t="s">
        <v>1983</v>
      </c>
      <c r="M91" s="11" t="s">
        <v>137</v>
      </c>
      <c r="N91" s="17"/>
    </row>
    <row r="92" spans="1:14" ht="42" x14ac:dyDescent="0.3">
      <c r="A92" s="9" t="s">
        <v>1555</v>
      </c>
      <c r="B92" s="10" t="s">
        <v>135</v>
      </c>
      <c r="C92" s="10" t="s">
        <v>945</v>
      </c>
      <c r="D92" s="10">
        <v>6</v>
      </c>
      <c r="E92" s="10" t="s">
        <v>91</v>
      </c>
      <c r="F92" s="10" t="s">
        <v>462</v>
      </c>
      <c r="G92" s="10" t="s">
        <v>1921</v>
      </c>
      <c r="H92" s="10" t="s">
        <v>1922</v>
      </c>
      <c r="I92" s="10" t="s">
        <v>54</v>
      </c>
      <c r="J92" s="10" t="s">
        <v>1956</v>
      </c>
      <c r="K92" s="10" t="s">
        <v>13</v>
      </c>
      <c r="L92" s="17" t="s">
        <v>1983</v>
      </c>
      <c r="M92" s="11" t="s">
        <v>137</v>
      </c>
      <c r="N92" s="19"/>
    </row>
    <row r="93" spans="1:14" ht="28" x14ac:dyDescent="0.3">
      <c r="A93" s="9" t="s">
        <v>1556</v>
      </c>
      <c r="B93" s="10" t="s">
        <v>135</v>
      </c>
      <c r="C93" s="10" t="s">
        <v>1923</v>
      </c>
      <c r="D93" s="10">
        <v>6</v>
      </c>
      <c r="E93" s="10" t="s">
        <v>8</v>
      </c>
      <c r="F93" s="10" t="s">
        <v>467</v>
      </c>
      <c r="G93" s="10" t="s">
        <v>1916</v>
      </c>
      <c r="H93" s="10" t="s">
        <v>1957</v>
      </c>
      <c r="I93" s="10" t="s">
        <v>54</v>
      </c>
      <c r="J93" s="10" t="s">
        <v>1958</v>
      </c>
      <c r="K93" s="10" t="s">
        <v>13</v>
      </c>
      <c r="L93" s="17" t="s">
        <v>1983</v>
      </c>
      <c r="M93" s="11" t="s">
        <v>137</v>
      </c>
      <c r="N93" s="19"/>
    </row>
    <row r="94" spans="1:14" ht="28" x14ac:dyDescent="0.3">
      <c r="A94" s="9" t="s">
        <v>1557</v>
      </c>
      <c r="B94" s="10" t="s">
        <v>135</v>
      </c>
      <c r="C94" s="10" t="s">
        <v>1924</v>
      </c>
      <c r="D94" s="10">
        <v>6</v>
      </c>
      <c r="E94" s="10" t="s">
        <v>8</v>
      </c>
      <c r="F94" s="10" t="s">
        <v>467</v>
      </c>
      <c r="G94" s="10" t="s">
        <v>1925</v>
      </c>
      <c r="H94" s="10" t="s">
        <v>1959</v>
      </c>
      <c r="I94" s="10" t="s">
        <v>54</v>
      </c>
      <c r="J94" s="10" t="s">
        <v>1960</v>
      </c>
      <c r="K94" s="10" t="s">
        <v>13</v>
      </c>
      <c r="L94" s="17" t="s">
        <v>1983</v>
      </c>
      <c r="M94" s="11" t="s">
        <v>137</v>
      </c>
      <c r="N94" s="19"/>
    </row>
    <row r="95" spans="1:14" ht="28" x14ac:dyDescent="0.3">
      <c r="A95" s="9" t="s">
        <v>1558</v>
      </c>
      <c r="B95" s="10" t="s">
        <v>135</v>
      </c>
      <c r="C95" s="10" t="s">
        <v>1926</v>
      </c>
      <c r="D95" s="10">
        <v>10</v>
      </c>
      <c r="E95" s="10" t="s">
        <v>91</v>
      </c>
      <c r="F95" s="10" t="s">
        <v>467</v>
      </c>
      <c r="G95" s="10" t="s">
        <v>1927</v>
      </c>
      <c r="H95" s="10" t="s">
        <v>1928</v>
      </c>
      <c r="I95" s="10" t="s">
        <v>54</v>
      </c>
      <c r="J95" s="10" t="s">
        <v>1961</v>
      </c>
      <c r="K95" s="10" t="s">
        <v>10</v>
      </c>
      <c r="L95" s="17" t="s">
        <v>1983</v>
      </c>
      <c r="M95" s="11" t="s">
        <v>137</v>
      </c>
      <c r="N95" s="17"/>
    </row>
    <row r="96" spans="1:14" ht="28" x14ac:dyDescent="0.3">
      <c r="A96" s="9" t="s">
        <v>1559</v>
      </c>
      <c r="B96" s="10" t="s">
        <v>135</v>
      </c>
      <c r="C96" s="10" t="s">
        <v>1929</v>
      </c>
      <c r="D96" s="10">
        <v>5</v>
      </c>
      <c r="E96" s="10" t="s">
        <v>8</v>
      </c>
      <c r="F96" s="10" t="s">
        <v>1930</v>
      </c>
      <c r="G96" s="10" t="s">
        <v>1931</v>
      </c>
      <c r="H96" s="10" t="s">
        <v>1962</v>
      </c>
      <c r="I96" s="10" t="s">
        <v>54</v>
      </c>
      <c r="J96" s="10" t="s">
        <v>1963</v>
      </c>
      <c r="K96" s="10" t="s">
        <v>10</v>
      </c>
      <c r="L96" s="17" t="s">
        <v>1983</v>
      </c>
      <c r="M96" s="11" t="s">
        <v>137</v>
      </c>
      <c r="N96" s="19"/>
    </row>
    <row r="97" spans="1:14" ht="28" x14ac:dyDescent="0.3">
      <c r="A97" s="9" t="s">
        <v>1560</v>
      </c>
      <c r="B97" s="10" t="s">
        <v>135</v>
      </c>
      <c r="C97" s="10" t="s">
        <v>1932</v>
      </c>
      <c r="D97" s="10">
        <v>6</v>
      </c>
      <c r="E97" s="10" t="s">
        <v>20</v>
      </c>
      <c r="F97" s="10" t="s">
        <v>1930</v>
      </c>
      <c r="G97" s="10" t="s">
        <v>1933</v>
      </c>
      <c r="H97" s="10" t="s">
        <v>1723</v>
      </c>
      <c r="I97" s="10" t="s">
        <v>1934</v>
      </c>
      <c r="J97" s="10" t="s">
        <v>1964</v>
      </c>
      <c r="K97" s="10" t="s">
        <v>10</v>
      </c>
      <c r="L97" s="17" t="s">
        <v>1983</v>
      </c>
      <c r="M97" s="11" t="s">
        <v>137</v>
      </c>
      <c r="N97" s="19"/>
    </row>
    <row r="98" spans="1:14" ht="28" x14ac:dyDescent="0.3">
      <c r="A98" s="9" t="s">
        <v>1561</v>
      </c>
      <c r="B98" s="10" t="s">
        <v>135</v>
      </c>
      <c r="C98" s="10" t="s">
        <v>1935</v>
      </c>
      <c r="D98" s="10">
        <v>7</v>
      </c>
      <c r="E98" s="10" t="s">
        <v>19</v>
      </c>
      <c r="F98" s="10" t="s">
        <v>483</v>
      </c>
      <c r="G98" s="10" t="s">
        <v>774</v>
      </c>
      <c r="H98" s="10" t="s">
        <v>1978</v>
      </c>
      <c r="I98" s="10" t="s">
        <v>54</v>
      </c>
      <c r="J98" s="10" t="s">
        <v>1965</v>
      </c>
      <c r="K98" s="10" t="s">
        <v>10</v>
      </c>
      <c r="L98" s="22" t="s">
        <v>1985</v>
      </c>
      <c r="M98" s="11" t="s">
        <v>137</v>
      </c>
      <c r="N98" s="19"/>
    </row>
    <row r="99" spans="1:14" ht="28" x14ac:dyDescent="0.3">
      <c r="A99" s="9" t="s">
        <v>1562</v>
      </c>
      <c r="B99" s="10" t="s">
        <v>135</v>
      </c>
      <c r="C99" s="10" t="s">
        <v>1936</v>
      </c>
      <c r="D99" s="10">
        <v>7</v>
      </c>
      <c r="E99" s="10" t="s">
        <v>19</v>
      </c>
      <c r="F99" s="10" t="s">
        <v>483</v>
      </c>
      <c r="G99" s="10" t="s">
        <v>634</v>
      </c>
      <c r="H99" s="10" t="s">
        <v>1979</v>
      </c>
      <c r="I99" s="10" t="s">
        <v>54</v>
      </c>
      <c r="J99" s="10" t="s">
        <v>1966</v>
      </c>
      <c r="K99" s="10" t="s">
        <v>10</v>
      </c>
      <c r="L99" s="22" t="s">
        <v>1985</v>
      </c>
      <c r="M99" s="11" t="s">
        <v>137</v>
      </c>
      <c r="N99" s="17"/>
    </row>
    <row r="100" spans="1:14" ht="28" x14ac:dyDescent="0.3">
      <c r="A100" s="9" t="s">
        <v>1563</v>
      </c>
      <c r="B100" s="10" t="s">
        <v>135</v>
      </c>
      <c r="C100" s="10" t="s">
        <v>1937</v>
      </c>
      <c r="D100" s="10">
        <v>6</v>
      </c>
      <c r="E100" s="10" t="s">
        <v>483</v>
      </c>
      <c r="F100" s="10" t="s">
        <v>489</v>
      </c>
      <c r="G100" s="10" t="s">
        <v>774</v>
      </c>
      <c r="H100" s="10" t="s">
        <v>1967</v>
      </c>
      <c r="I100" s="10" t="s">
        <v>968</v>
      </c>
      <c r="J100" s="10" t="s">
        <v>1968</v>
      </c>
      <c r="K100" s="10" t="s">
        <v>13</v>
      </c>
      <c r="L100" s="17" t="s">
        <v>1983</v>
      </c>
      <c r="M100" s="11" t="s">
        <v>137</v>
      </c>
      <c r="N100" s="19"/>
    </row>
    <row r="101" spans="1:14" ht="28" x14ac:dyDescent="0.3">
      <c r="A101" s="9" t="s">
        <v>1564</v>
      </c>
      <c r="B101" s="10" t="s">
        <v>135</v>
      </c>
      <c r="C101" s="10" t="s">
        <v>1938</v>
      </c>
      <c r="D101" s="10">
        <v>5</v>
      </c>
      <c r="E101" s="10" t="s">
        <v>483</v>
      </c>
      <c r="F101" s="10" t="s">
        <v>489</v>
      </c>
      <c r="G101" s="10" t="s">
        <v>774</v>
      </c>
      <c r="H101" s="10" t="s">
        <v>1969</v>
      </c>
      <c r="I101" s="10" t="s">
        <v>1460</v>
      </c>
      <c r="J101" s="10" t="s">
        <v>1970</v>
      </c>
      <c r="K101" s="10" t="s">
        <v>14</v>
      </c>
      <c r="L101" s="17" t="s">
        <v>1983</v>
      </c>
      <c r="M101" s="11" t="s">
        <v>137</v>
      </c>
      <c r="N101" s="19"/>
    </row>
    <row r="102" spans="1:14" ht="42" x14ac:dyDescent="0.3">
      <c r="A102" s="9" t="s">
        <v>1565</v>
      </c>
      <c r="B102" s="10" t="s">
        <v>135</v>
      </c>
      <c r="C102" s="10" t="s">
        <v>973</v>
      </c>
      <c r="D102" s="10">
        <v>10</v>
      </c>
      <c r="E102" s="10" t="s">
        <v>19</v>
      </c>
      <c r="F102" s="10" t="s">
        <v>494</v>
      </c>
      <c r="G102" s="10" t="s">
        <v>774</v>
      </c>
      <c r="H102" s="10" t="s">
        <v>1971</v>
      </c>
      <c r="I102" s="10" t="s">
        <v>54</v>
      </c>
      <c r="J102" s="10" t="s">
        <v>1972</v>
      </c>
      <c r="K102" s="10" t="s">
        <v>10</v>
      </c>
      <c r="L102" s="17" t="s">
        <v>1983</v>
      </c>
      <c r="M102" s="11" t="s">
        <v>137</v>
      </c>
      <c r="N102" s="19"/>
    </row>
    <row r="103" spans="1:14" ht="28" x14ac:dyDescent="0.3">
      <c r="A103" s="9" t="s">
        <v>1566</v>
      </c>
      <c r="B103" s="10" t="s">
        <v>135</v>
      </c>
      <c r="C103" s="10" t="s">
        <v>1939</v>
      </c>
      <c r="D103" s="10">
        <v>6</v>
      </c>
      <c r="E103" s="10" t="s">
        <v>19</v>
      </c>
      <c r="F103" s="10" t="s">
        <v>497</v>
      </c>
      <c r="G103" s="10" t="s">
        <v>54</v>
      </c>
      <c r="H103" s="10" t="s">
        <v>1940</v>
      </c>
      <c r="I103" s="10" t="s">
        <v>54</v>
      </c>
      <c r="J103" s="10" t="s">
        <v>977</v>
      </c>
      <c r="K103" s="10" t="s">
        <v>10</v>
      </c>
      <c r="L103" s="22" t="s">
        <v>1985</v>
      </c>
      <c r="M103" s="11" t="s">
        <v>137</v>
      </c>
      <c r="N103" s="19"/>
    </row>
    <row r="104" spans="1:14" ht="28" x14ac:dyDescent="0.3">
      <c r="A104" s="9" t="s">
        <v>1567</v>
      </c>
      <c r="B104" s="10" t="s">
        <v>135</v>
      </c>
      <c r="C104" s="10" t="s">
        <v>1941</v>
      </c>
      <c r="D104" s="10">
        <v>6</v>
      </c>
      <c r="E104" s="10" t="s">
        <v>19</v>
      </c>
      <c r="F104" s="10" t="s">
        <v>497</v>
      </c>
      <c r="G104" s="10" t="s">
        <v>500</v>
      </c>
      <c r="H104" s="10" t="s">
        <v>1942</v>
      </c>
      <c r="I104" s="10" t="s">
        <v>54</v>
      </c>
      <c r="J104" s="10" t="s">
        <v>1943</v>
      </c>
      <c r="K104" s="10" t="s">
        <v>10</v>
      </c>
      <c r="L104" s="22" t="s">
        <v>1985</v>
      </c>
      <c r="M104" s="11" t="s">
        <v>137</v>
      </c>
      <c r="N104" s="19"/>
    </row>
    <row r="105" spans="1:14" ht="42" x14ac:dyDescent="0.3">
      <c r="A105" s="9" t="s">
        <v>1568</v>
      </c>
      <c r="B105" s="10" t="s">
        <v>135</v>
      </c>
      <c r="C105" s="10" t="s">
        <v>1944</v>
      </c>
      <c r="D105" s="10">
        <v>12</v>
      </c>
      <c r="E105" s="10" t="s">
        <v>91</v>
      </c>
      <c r="F105" s="10" t="s">
        <v>313</v>
      </c>
      <c r="G105" s="10" t="s">
        <v>981</v>
      </c>
      <c r="H105" s="10" t="s">
        <v>1945</v>
      </c>
      <c r="I105" s="10" t="s">
        <v>54</v>
      </c>
      <c r="J105" s="10" t="s">
        <v>1975</v>
      </c>
      <c r="K105" s="10" t="s">
        <v>10</v>
      </c>
      <c r="L105" s="17" t="s">
        <v>1983</v>
      </c>
      <c r="M105" s="11" t="s">
        <v>137</v>
      </c>
      <c r="N105" s="19"/>
    </row>
    <row r="106" spans="1:14" ht="42" x14ac:dyDescent="0.3">
      <c r="A106" s="9" t="s">
        <v>1569</v>
      </c>
      <c r="B106" s="10" t="s">
        <v>135</v>
      </c>
      <c r="C106" s="10" t="s">
        <v>1946</v>
      </c>
      <c r="D106" s="10">
        <v>15</v>
      </c>
      <c r="E106" s="10" t="s">
        <v>200</v>
      </c>
      <c r="F106" s="10" t="s">
        <v>508</v>
      </c>
      <c r="G106" s="10" t="s">
        <v>1916</v>
      </c>
      <c r="H106" s="10" t="s">
        <v>1973</v>
      </c>
      <c r="I106" s="10" t="s">
        <v>54</v>
      </c>
      <c r="J106" s="10" t="s">
        <v>1976</v>
      </c>
      <c r="K106" s="10" t="s">
        <v>13</v>
      </c>
      <c r="L106" s="22" t="s">
        <v>1985</v>
      </c>
      <c r="M106" s="11" t="s">
        <v>137</v>
      </c>
      <c r="N106" s="19"/>
    </row>
    <row r="107" spans="1:14" ht="42" x14ac:dyDescent="0.3">
      <c r="A107" s="9" t="s">
        <v>1570</v>
      </c>
      <c r="B107" s="10" t="s">
        <v>135</v>
      </c>
      <c r="C107" s="10" t="s">
        <v>1947</v>
      </c>
      <c r="D107" s="10">
        <v>15</v>
      </c>
      <c r="E107" s="10" t="s">
        <v>200</v>
      </c>
      <c r="F107" s="10" t="s">
        <v>511</v>
      </c>
      <c r="G107" s="10" t="s">
        <v>512</v>
      </c>
      <c r="H107" s="10" t="s">
        <v>1974</v>
      </c>
      <c r="I107" s="10" t="s">
        <v>54</v>
      </c>
      <c r="J107" s="10" t="s">
        <v>1977</v>
      </c>
      <c r="K107" s="10" t="s">
        <v>13</v>
      </c>
      <c r="L107" s="22" t="s">
        <v>1985</v>
      </c>
      <c r="M107" s="11" t="s">
        <v>137</v>
      </c>
      <c r="N107" s="19"/>
    </row>
  </sheetData>
  <mergeCells count="1">
    <mergeCell ref="E1:G1"/>
  </mergeCells>
  <phoneticPr fontId="1" type="noConversion"/>
  <dataValidations count="2">
    <dataValidation type="list" allowBlank="1" showInputMessage="1" showErrorMessage="1" sqref="I8:I66" xr:uid="{997BD493-5AF8-4A5A-94F0-E71A5DB3C389}">
      <formula1>"HIGH, NORMAL, LOW"</formula1>
    </dataValidation>
    <dataValidation type="list" allowBlank="1" showInputMessage="1" showErrorMessage="1" sqref="L8:L107" xr:uid="{8AC93217-790D-4DBC-930E-A92AC7F01FB6}">
      <formula1>"PASS, FAIL, BLOCKED"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 Chức năng SRS Management</vt:lpstr>
      <vt:lpstr>Chức năng test Plan</vt:lpstr>
      <vt:lpstr>Chức năng test case</vt:lpstr>
      <vt:lpstr>Chức năng Defect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Đạt Lê</dc:creator>
  <cp:lastModifiedBy>Đạt Lê</cp:lastModifiedBy>
  <dcterms:created xsi:type="dcterms:W3CDTF">2025-09-17T03:25:21Z</dcterms:created>
  <dcterms:modified xsi:type="dcterms:W3CDTF">2025-10-09T14:45:42Z</dcterms:modified>
</cp:coreProperties>
</file>